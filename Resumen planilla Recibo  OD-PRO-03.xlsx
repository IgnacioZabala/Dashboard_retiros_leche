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Q:\Mozzarella\Administración\Recepción Leche\"/>
    </mc:Choice>
  </mc:AlternateContent>
  <xr:revisionPtr revIDLastSave="0" documentId="13_ncr:1_{EFF01981-4AF7-4A60-8C1D-CB36CE08D3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ésumen OD-PRO-03" sheetId="1" r:id="rId1"/>
    <sheet name="Código Tambos" sheetId="2" r:id="rId2"/>
  </sheets>
  <definedNames>
    <definedName name="_xlnm._FilterDatabase" localSheetId="0" hidden="1">'Résumen OD-PRO-03'!$B$5:$K$1028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21" i="1" l="1"/>
  <c r="H1006" i="1"/>
  <c r="G1006" i="1"/>
  <c r="E1008" i="1"/>
  <c r="H1018" i="1"/>
  <c r="H1015" i="1"/>
  <c r="H1010" i="1"/>
  <c r="E1015" i="1"/>
  <c r="E1016" i="1"/>
  <c r="E1017" i="1"/>
  <c r="E1018" i="1"/>
  <c r="E1019" i="1"/>
  <c r="E1020" i="1"/>
  <c r="E1021" i="1"/>
  <c r="E1022" i="1"/>
  <c r="H1001" i="1"/>
  <c r="E1006" i="1"/>
  <c r="E1007" i="1"/>
  <c r="E1009" i="1"/>
  <c r="E1010" i="1"/>
  <c r="E1011" i="1"/>
  <c r="E1012" i="1"/>
  <c r="E1013" i="1"/>
  <c r="E1014" i="1"/>
  <c r="E1023" i="1"/>
  <c r="H997" i="1"/>
  <c r="E997" i="1"/>
  <c r="E998" i="1"/>
  <c r="E999" i="1"/>
  <c r="E1000" i="1"/>
  <c r="E1001" i="1"/>
  <c r="E1002" i="1"/>
  <c r="E1003" i="1"/>
  <c r="E1004" i="1"/>
  <c r="E1005" i="1"/>
  <c r="H994" i="1"/>
  <c r="H990" i="1"/>
  <c r="H985" i="1"/>
  <c r="H982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H977" i="1"/>
  <c r="H974" i="1"/>
  <c r="E974" i="1"/>
  <c r="E975" i="1"/>
  <c r="E976" i="1"/>
  <c r="E977" i="1"/>
  <c r="E978" i="1"/>
  <c r="E979" i="1"/>
  <c r="E980" i="1"/>
  <c r="H969" i="1"/>
  <c r="H966" i="1"/>
  <c r="H961" i="1"/>
  <c r="H956" i="1"/>
  <c r="H953" i="1"/>
  <c r="H950" i="1"/>
  <c r="H949" i="1"/>
  <c r="H946" i="1"/>
  <c r="H941" i="1"/>
  <c r="H936" i="1"/>
  <c r="H933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35" i="1"/>
  <c r="E814" i="1"/>
  <c r="E797" i="1"/>
  <c r="H930" i="1"/>
  <c r="H927" i="1"/>
  <c r="E930" i="1"/>
  <c r="E931" i="1"/>
  <c r="E932" i="1"/>
  <c r="E933" i="1"/>
  <c r="E934" i="1"/>
  <c r="E972" i="1"/>
  <c r="E973" i="1"/>
  <c r="E981" i="1"/>
  <c r="E982" i="1"/>
  <c r="H923" i="1"/>
  <c r="H918" i="1"/>
  <c r="H919" i="1"/>
  <c r="H915" i="1"/>
  <c r="H910" i="1"/>
  <c r="H905" i="1"/>
  <c r="H906" i="1"/>
  <c r="H900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H897" i="1"/>
  <c r="H892" i="1"/>
  <c r="H887" i="1"/>
  <c r="E888" i="1"/>
  <c r="H884" i="1"/>
  <c r="H881" i="1"/>
  <c r="E879" i="1"/>
  <c r="E880" i="1"/>
  <c r="E881" i="1"/>
  <c r="E882" i="1"/>
  <c r="E883" i="1"/>
  <c r="E884" i="1"/>
  <c r="E885" i="1"/>
  <c r="E886" i="1"/>
  <c r="E887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29" i="1"/>
  <c r="E983" i="1"/>
  <c r="E984" i="1"/>
  <c r="H876" i="1"/>
  <c r="H872" i="1"/>
  <c r="H871" i="1"/>
  <c r="H867" i="1"/>
  <c r="H864" i="1"/>
  <c r="E865" i="1"/>
  <c r="H861" i="1"/>
  <c r="H859" i="1"/>
  <c r="H854" i="1"/>
  <c r="E854" i="1"/>
  <c r="E855" i="1"/>
  <c r="E856" i="1"/>
  <c r="E857" i="1"/>
  <c r="E858" i="1"/>
  <c r="E859" i="1"/>
  <c r="E860" i="1"/>
  <c r="E861" i="1"/>
  <c r="E862" i="1"/>
  <c r="E863" i="1"/>
  <c r="E864" i="1"/>
  <c r="E866" i="1"/>
  <c r="H853" i="1"/>
  <c r="E853" i="1"/>
  <c r="E867" i="1"/>
  <c r="E868" i="1"/>
  <c r="E869" i="1"/>
  <c r="E870" i="1"/>
  <c r="E871" i="1"/>
  <c r="E872" i="1"/>
  <c r="E873" i="1"/>
  <c r="H850" i="1"/>
  <c r="H847" i="1"/>
  <c r="H842" i="1"/>
  <c r="E842" i="1"/>
  <c r="H839" i="1"/>
  <c r="H836" i="1"/>
  <c r="H831" i="1"/>
  <c r="H824" i="1"/>
  <c r="E836" i="1"/>
  <c r="E837" i="1"/>
  <c r="E839" i="1"/>
  <c r="E840" i="1"/>
  <c r="E841" i="1"/>
  <c r="E843" i="1"/>
  <c r="E844" i="1"/>
  <c r="E845" i="1"/>
  <c r="E846" i="1"/>
  <c r="E847" i="1"/>
  <c r="E848" i="1"/>
  <c r="E849" i="1"/>
  <c r="E850" i="1"/>
  <c r="E851" i="1"/>
  <c r="E852" i="1"/>
  <c r="E874" i="1"/>
  <c r="E875" i="1"/>
  <c r="G808" i="1"/>
  <c r="E810" i="1"/>
  <c r="H816" i="1"/>
  <c r="H799" i="1"/>
  <c r="H791" i="1"/>
  <c r="H784" i="1"/>
  <c r="E825" i="1"/>
  <c r="E826" i="1"/>
  <c r="E827" i="1"/>
  <c r="E828" i="1"/>
  <c r="E829" i="1"/>
  <c r="E830" i="1"/>
  <c r="E831" i="1"/>
  <c r="E832" i="1"/>
  <c r="E833" i="1"/>
  <c r="E834" i="1"/>
  <c r="E835" i="1"/>
  <c r="E876" i="1"/>
  <c r="E819" i="1"/>
  <c r="E820" i="1"/>
  <c r="E821" i="1"/>
  <c r="E822" i="1"/>
  <c r="E823" i="1"/>
  <c r="E824" i="1"/>
  <c r="E877" i="1"/>
  <c r="E878" i="1"/>
  <c r="E808" i="1"/>
  <c r="E809" i="1"/>
  <c r="E811" i="1"/>
  <c r="E812" i="1"/>
  <c r="E813" i="1"/>
  <c r="E815" i="1"/>
  <c r="E816" i="1"/>
  <c r="E817" i="1"/>
  <c r="E818" i="1"/>
  <c r="E792" i="1"/>
  <c r="E793" i="1"/>
  <c r="E794" i="1"/>
  <c r="E795" i="1"/>
  <c r="E796" i="1"/>
  <c r="E798" i="1"/>
  <c r="E799" i="1"/>
  <c r="E800" i="1"/>
  <c r="E801" i="1"/>
  <c r="E802" i="1"/>
  <c r="E803" i="1"/>
  <c r="E804" i="1"/>
  <c r="E805" i="1"/>
  <c r="E806" i="1"/>
  <c r="E807" i="1"/>
  <c r="E784" i="1"/>
  <c r="E785" i="1"/>
  <c r="E786" i="1"/>
  <c r="E787" i="1"/>
  <c r="E788" i="1"/>
  <c r="E789" i="1"/>
  <c r="E790" i="1"/>
  <c r="E791" i="1"/>
  <c r="E1024" i="1"/>
  <c r="G776" i="1"/>
  <c r="H775" i="1" s="1"/>
  <c r="E776" i="1"/>
  <c r="E777" i="1"/>
  <c r="E778" i="1"/>
  <c r="E779" i="1"/>
  <c r="E780" i="1"/>
  <c r="E781" i="1"/>
  <c r="E782" i="1"/>
  <c r="E783" i="1"/>
  <c r="H807" i="1" l="1"/>
  <c r="H808" i="1"/>
  <c r="G766" i="1"/>
  <c r="E773" i="1"/>
  <c r="E775" i="1"/>
  <c r="H766" i="1"/>
  <c r="H765" i="1"/>
  <c r="E766" i="1"/>
  <c r="E767" i="1"/>
  <c r="E768" i="1"/>
  <c r="E769" i="1"/>
  <c r="E770" i="1"/>
  <c r="E771" i="1"/>
  <c r="G758" i="1"/>
  <c r="H758" i="1" s="1"/>
  <c r="G750" i="1"/>
  <c r="H750" i="1" s="1"/>
  <c r="E755" i="1"/>
  <c r="E756" i="1"/>
  <c r="E750" i="1"/>
  <c r="E751" i="1"/>
  <c r="E752" i="1"/>
  <c r="E753" i="1"/>
  <c r="E754" i="1"/>
  <c r="H749" i="1"/>
  <c r="E749" i="1"/>
  <c r="E757" i="1"/>
  <c r="E758" i="1"/>
  <c r="E759" i="1"/>
  <c r="E760" i="1"/>
  <c r="E761" i="1"/>
  <c r="E762" i="1"/>
  <c r="E763" i="1"/>
  <c r="E764" i="1"/>
  <c r="E765" i="1"/>
  <c r="E772" i="1"/>
  <c r="G742" i="1"/>
  <c r="G734" i="1"/>
  <c r="E734" i="1"/>
  <c r="E735" i="1"/>
  <c r="E736" i="1"/>
  <c r="E737" i="1"/>
  <c r="E738" i="1"/>
  <c r="E739" i="1"/>
  <c r="E740" i="1"/>
  <c r="E741" i="1"/>
  <c r="E742" i="1"/>
  <c r="E743" i="1"/>
  <c r="G726" i="1"/>
  <c r="E726" i="1"/>
  <c r="E727" i="1"/>
  <c r="E728" i="1"/>
  <c r="E729" i="1"/>
  <c r="E730" i="1"/>
  <c r="E731" i="1"/>
  <c r="E732" i="1"/>
  <c r="E733" i="1"/>
  <c r="E744" i="1"/>
  <c r="G718" i="1"/>
  <c r="H709" i="1"/>
  <c r="E718" i="1"/>
  <c r="E719" i="1"/>
  <c r="E720" i="1"/>
  <c r="E721" i="1"/>
  <c r="E722" i="1"/>
  <c r="E723" i="1"/>
  <c r="E724" i="1"/>
  <c r="E725" i="1"/>
  <c r="E745" i="1"/>
  <c r="E746" i="1"/>
  <c r="E747" i="1"/>
  <c r="G710" i="1"/>
  <c r="H706" i="1"/>
  <c r="E710" i="1"/>
  <c r="E711" i="1"/>
  <c r="E712" i="1"/>
  <c r="E713" i="1"/>
  <c r="E714" i="1"/>
  <c r="E715" i="1"/>
  <c r="E716" i="1"/>
  <c r="E717" i="1"/>
  <c r="E748" i="1"/>
  <c r="E774" i="1"/>
  <c r="E709" i="1"/>
  <c r="H692" i="1"/>
  <c r="E706" i="1"/>
  <c r="E707" i="1"/>
  <c r="E708" i="1"/>
  <c r="H702" i="1"/>
  <c r="H700" i="1"/>
  <c r="H697" i="1"/>
  <c r="H693" i="1"/>
  <c r="G685" i="1"/>
  <c r="H677" i="1"/>
  <c r="G678" i="1"/>
  <c r="H673" i="1"/>
  <c r="G669" i="1"/>
  <c r="H669" i="1" s="1"/>
  <c r="G664" i="1"/>
  <c r="G660" i="1"/>
  <c r="H660" i="1"/>
  <c r="H656" i="1"/>
  <c r="H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8" i="1"/>
  <c r="E689" i="1"/>
  <c r="E690" i="1"/>
  <c r="E691" i="1"/>
  <c r="E692" i="1"/>
  <c r="E693" i="1"/>
  <c r="E694" i="1"/>
  <c r="E695" i="1"/>
  <c r="E696" i="1"/>
  <c r="E697" i="1"/>
  <c r="E699" i="1"/>
  <c r="E701" i="1"/>
  <c r="E702" i="1"/>
  <c r="E703" i="1"/>
  <c r="E704" i="1"/>
  <c r="E705" i="1"/>
  <c r="E1025" i="1"/>
  <c r="E1026" i="1"/>
  <c r="H641" i="1"/>
  <c r="E643" i="1"/>
  <c r="N626" i="1"/>
  <c r="N619" i="1"/>
  <c r="N612" i="1"/>
  <c r="N605" i="1"/>
  <c r="N599" i="1"/>
  <c r="H734" i="1" l="1"/>
  <c r="H742" i="1"/>
  <c r="H726" i="1"/>
  <c r="H718" i="1"/>
  <c r="H710" i="1"/>
  <c r="H664" i="1"/>
  <c r="H678" i="1"/>
  <c r="H685" i="1"/>
  <c r="H640" i="1"/>
  <c r="G648" i="1"/>
  <c r="E649" i="1"/>
  <c r="E650" i="1"/>
  <c r="E651" i="1"/>
  <c r="E652" i="1"/>
  <c r="E653" i="1"/>
  <c r="E654" i="1"/>
  <c r="G645" i="1"/>
  <c r="H645" i="1" s="1"/>
  <c r="E647" i="1"/>
  <c r="E641" i="1"/>
  <c r="E642" i="1"/>
  <c r="E645" i="1"/>
  <c r="E646" i="1"/>
  <c r="E648" i="1"/>
  <c r="E640" i="1"/>
  <c r="G633" i="1"/>
  <c r="E634" i="1"/>
  <c r="E635" i="1"/>
  <c r="E636" i="1"/>
  <c r="E637" i="1"/>
  <c r="E638" i="1"/>
  <c r="E639" i="1"/>
  <c r="E633" i="1"/>
  <c r="G626" i="1"/>
  <c r="E626" i="1"/>
  <c r="E627" i="1"/>
  <c r="E628" i="1"/>
  <c r="E629" i="1"/>
  <c r="E630" i="1"/>
  <c r="E631" i="1"/>
  <c r="E632" i="1"/>
  <c r="E622" i="1"/>
  <c r="E623" i="1"/>
  <c r="E624" i="1"/>
  <c r="E625" i="1"/>
  <c r="G619" i="1"/>
  <c r="G612" i="1"/>
  <c r="G605" i="1"/>
  <c r="E613" i="1"/>
  <c r="E614" i="1"/>
  <c r="E615" i="1"/>
  <c r="E616" i="1"/>
  <c r="E617" i="1"/>
  <c r="E618" i="1"/>
  <c r="E609" i="1"/>
  <c r="E606" i="1"/>
  <c r="E607" i="1"/>
  <c r="E608" i="1"/>
  <c r="E610" i="1"/>
  <c r="E611" i="1"/>
  <c r="G598" i="1"/>
  <c r="E601" i="1"/>
  <c r="E602" i="1"/>
  <c r="E603" i="1"/>
  <c r="E604" i="1"/>
  <c r="E605" i="1"/>
  <c r="E612" i="1"/>
  <c r="E599" i="1"/>
  <c r="E600" i="1"/>
  <c r="E619" i="1"/>
  <c r="E620" i="1"/>
  <c r="E621" i="1"/>
  <c r="G592" i="1"/>
  <c r="E593" i="1"/>
  <c r="E594" i="1"/>
  <c r="E595" i="1"/>
  <c r="E596" i="1"/>
  <c r="E597" i="1"/>
  <c r="E598" i="1"/>
  <c r="E592" i="1"/>
  <c r="H592" i="1" l="1"/>
  <c r="H648" i="1"/>
  <c r="H633" i="1"/>
  <c r="H626" i="1"/>
  <c r="H619" i="1"/>
  <c r="H612" i="1"/>
  <c r="H605" i="1"/>
  <c r="H598" i="1"/>
  <c r="G588" i="1"/>
  <c r="H588" i="1" s="1"/>
  <c r="G582" i="1"/>
  <c r="H582" i="1" s="1"/>
  <c r="G580" i="1"/>
  <c r="H580" i="1" s="1"/>
  <c r="G574" i="1"/>
  <c r="H574" i="1" s="1"/>
  <c r="G572" i="1"/>
  <c r="H572" i="1" s="1"/>
  <c r="G564" i="1"/>
  <c r="H564" i="1" s="1"/>
  <c r="G566" i="1"/>
  <c r="H566" i="1" s="1"/>
  <c r="G558" i="1"/>
  <c r="H558" i="1" s="1"/>
  <c r="G556" i="1"/>
  <c r="H556" i="1" s="1"/>
  <c r="H553" i="1"/>
  <c r="H550" i="1"/>
  <c r="H545" i="1"/>
  <c r="H541" i="1"/>
  <c r="G536" i="1"/>
  <c r="H536" i="1" s="1"/>
  <c r="H533" i="1"/>
  <c r="H528" i="1"/>
  <c r="H525" i="1"/>
  <c r="H522" i="1"/>
  <c r="G518" i="1"/>
  <c r="H518" i="1" s="1"/>
  <c r="H517" i="1"/>
  <c r="H514" i="1"/>
  <c r="G510" i="1"/>
  <c r="H510" i="1" s="1"/>
  <c r="G507" i="1"/>
  <c r="H507" i="1" s="1"/>
  <c r="G503" i="1"/>
  <c r="H503" i="1" s="1"/>
  <c r="H500" i="1"/>
  <c r="G496" i="1"/>
  <c r="E492" i="1"/>
  <c r="H492" i="1"/>
  <c r="H489" i="1"/>
  <c r="H485" i="1"/>
  <c r="H482" i="1"/>
  <c r="H478" i="1"/>
  <c r="H474" i="1"/>
  <c r="H471" i="1"/>
  <c r="H467" i="1"/>
  <c r="H463" i="1"/>
  <c r="H459" i="1"/>
  <c r="H456" i="1"/>
  <c r="E526" i="1"/>
  <c r="E550" i="1"/>
  <c r="E551" i="1"/>
  <c r="E570" i="1"/>
  <c r="E571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3" i="1"/>
  <c r="E494" i="1"/>
  <c r="E495" i="1"/>
  <c r="E525" i="1"/>
  <c r="E456" i="1"/>
  <c r="G452" i="1"/>
  <c r="H452" i="1" s="1"/>
  <c r="H448" i="1"/>
  <c r="H444" i="1"/>
  <c r="H440" i="1"/>
  <c r="G435" i="1"/>
  <c r="H435" i="1" s="1"/>
  <c r="E437" i="1"/>
  <c r="H431" i="1"/>
  <c r="H427" i="1"/>
  <c r="E431" i="1"/>
  <c r="E432" i="1"/>
  <c r="E433" i="1"/>
  <c r="E434" i="1"/>
  <c r="E435" i="1"/>
  <c r="E436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29" i="1"/>
  <c r="E430" i="1"/>
  <c r="E428" i="1"/>
  <c r="E414" i="1"/>
  <c r="E405" i="1"/>
  <c r="E400" i="1"/>
  <c r="E395" i="1"/>
  <c r="E386" i="1"/>
  <c r="E382" i="1"/>
  <c r="E378" i="1"/>
  <c r="E374" i="1"/>
  <c r="E370" i="1"/>
  <c r="E366" i="1"/>
  <c r="E365" i="1"/>
  <c r="E361" i="1"/>
  <c r="E358" i="1"/>
  <c r="E356" i="1"/>
  <c r="E355" i="1"/>
  <c r="E349" i="1"/>
  <c r="E347" i="1"/>
  <c r="E409" i="1"/>
  <c r="E427" i="1"/>
  <c r="H496" i="1" l="1"/>
  <c r="G423" i="1"/>
  <c r="H423" i="1" s="1"/>
  <c r="H419" i="1"/>
  <c r="H416" i="1" l="1"/>
  <c r="H414" i="1"/>
  <c r="H411" i="1"/>
  <c r="H409" i="1"/>
  <c r="H405" i="1"/>
  <c r="H402" i="1"/>
  <c r="G397" i="1"/>
  <c r="H397" i="1" s="1"/>
  <c r="H395" i="1"/>
  <c r="H392" i="1"/>
  <c r="H391" i="1"/>
  <c r="H388" i="1"/>
  <c r="H387" i="1"/>
  <c r="H386" i="1"/>
  <c r="H384" i="1"/>
  <c r="G380" i="1"/>
  <c r="H380" i="1" s="1"/>
  <c r="H378" i="1"/>
  <c r="H376" i="1"/>
  <c r="H375" i="1"/>
  <c r="E357" i="1"/>
  <c r="H357" i="1"/>
  <c r="E359" i="1"/>
  <c r="G359" i="1"/>
  <c r="H359" i="1" s="1"/>
  <c r="G363" i="1"/>
  <c r="H363" i="1" s="1"/>
  <c r="H366" i="1"/>
  <c r="G368" i="1"/>
  <c r="H368" i="1" s="1"/>
  <c r="G372" i="1"/>
  <c r="H372" i="1" s="1"/>
  <c r="H356" i="1"/>
  <c r="G353" i="1"/>
  <c r="H353" i="1" s="1"/>
  <c r="E354" i="1"/>
  <c r="E353" i="1"/>
  <c r="H351" i="1"/>
  <c r="H349" i="1"/>
  <c r="E352" i="1"/>
  <c r="E351" i="1"/>
  <c r="E350" i="1"/>
  <c r="E344" i="1"/>
  <c r="H347" i="1" l="1"/>
  <c r="G344" i="1"/>
  <c r="H344" i="1" s="1"/>
  <c r="E348" i="1"/>
  <c r="E346" i="1"/>
  <c r="E345" i="1"/>
  <c r="H341" i="1"/>
  <c r="E343" i="1"/>
  <c r="E342" i="1"/>
  <c r="E341" i="1"/>
  <c r="H338" i="1"/>
  <c r="E340" i="1"/>
  <c r="E339" i="1"/>
  <c r="E338" i="1"/>
  <c r="H335" i="1"/>
  <c r="E337" i="1"/>
  <c r="E336" i="1"/>
  <c r="E335" i="1"/>
  <c r="H333" i="1"/>
  <c r="E334" i="1"/>
  <c r="E333" i="1"/>
  <c r="G330" i="1"/>
  <c r="H330" i="1" s="1"/>
  <c r="E332" i="1"/>
  <c r="E331" i="1"/>
  <c r="E330" i="1"/>
  <c r="H327" i="1"/>
  <c r="E329" i="1"/>
  <c r="E328" i="1"/>
  <c r="E327" i="1"/>
  <c r="H324" i="1"/>
  <c r="E326" i="1"/>
  <c r="E325" i="1"/>
  <c r="E324" i="1"/>
  <c r="H322" i="1"/>
  <c r="E323" i="1"/>
  <c r="E322" i="1"/>
  <c r="G319" i="1"/>
  <c r="H319" i="1" s="1"/>
  <c r="E321" i="1"/>
  <c r="E320" i="1"/>
  <c r="E319" i="1"/>
  <c r="H316" i="1"/>
  <c r="E318" i="1"/>
  <c r="E317" i="1"/>
  <c r="E316" i="1"/>
  <c r="H313" i="1"/>
  <c r="E315" i="1"/>
  <c r="E314" i="1"/>
  <c r="E313" i="1"/>
  <c r="H310" i="1"/>
  <c r="E312" i="1"/>
  <c r="E311" i="1"/>
  <c r="E310" i="1"/>
  <c r="H307" i="1"/>
  <c r="E309" i="1"/>
  <c r="E308" i="1"/>
  <c r="E307" i="1"/>
  <c r="H304" i="1"/>
  <c r="E305" i="1"/>
  <c r="E306" i="1"/>
  <c r="E304" i="1"/>
  <c r="H301" i="1"/>
  <c r="E301" i="1"/>
  <c r="E302" i="1"/>
  <c r="E303" i="1"/>
  <c r="E300" i="1"/>
  <c r="H298" i="1"/>
  <c r="H295" i="1"/>
  <c r="G291" i="1"/>
  <c r="H291" i="1" s="1"/>
  <c r="E295" i="1"/>
  <c r="E296" i="1"/>
  <c r="E297" i="1"/>
  <c r="E298" i="1"/>
  <c r="E299" i="1"/>
  <c r="E294" i="1"/>
  <c r="E292" i="1"/>
  <c r="E293" i="1"/>
  <c r="E291" i="1"/>
  <c r="G287" i="1"/>
  <c r="H287" i="1" s="1"/>
  <c r="E290" i="1"/>
  <c r="E288" i="1"/>
  <c r="H284" i="1"/>
  <c r="E287" i="1"/>
  <c r="E285" i="1"/>
  <c r="E286" i="1"/>
  <c r="G280" i="1" l="1"/>
  <c r="H280" i="1" s="1"/>
  <c r="G277" i="1"/>
  <c r="H277" i="1" s="1"/>
  <c r="G274" i="1"/>
  <c r="H274" i="1" s="1"/>
  <c r="G270" i="1"/>
  <c r="H270" i="1" s="1"/>
  <c r="H268" i="1"/>
  <c r="E269" i="1"/>
  <c r="G265" i="1"/>
  <c r="H265" i="1" s="1"/>
  <c r="G262" i="1"/>
  <c r="H262" i="1" s="1"/>
  <c r="H258" i="1"/>
  <c r="E260" i="1"/>
  <c r="E258" i="1"/>
  <c r="E259" i="1"/>
  <c r="E261" i="1"/>
  <c r="E262" i="1"/>
  <c r="E263" i="1"/>
  <c r="E264" i="1"/>
  <c r="E265" i="1"/>
  <c r="E266" i="1"/>
  <c r="E267" i="1"/>
  <c r="E268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9" i="1"/>
  <c r="F1027" i="1" l="1"/>
  <c r="E257" i="1"/>
  <c r="E256" i="1"/>
  <c r="H255" i="1"/>
  <c r="E255" i="1"/>
  <c r="E254" i="1"/>
  <c r="E253" i="1"/>
  <c r="H252" i="1"/>
  <c r="E252" i="1"/>
  <c r="E251" i="1" l="1"/>
  <c r="E250" i="1"/>
  <c r="H249" i="1"/>
  <c r="E249" i="1"/>
  <c r="E248" i="1"/>
  <c r="E247" i="1"/>
  <c r="H246" i="1"/>
  <c r="E246" i="1"/>
  <c r="E245" i="1"/>
  <c r="E244" i="1"/>
  <c r="H243" i="1"/>
  <c r="E243" i="1"/>
  <c r="E242" i="1"/>
  <c r="E241" i="1"/>
  <c r="H240" i="1"/>
  <c r="E240" i="1"/>
  <c r="E239" i="1"/>
  <c r="E238" i="1"/>
  <c r="H237" i="1"/>
  <c r="E237" i="1"/>
  <c r="H234" i="1" l="1"/>
  <c r="H233" i="1"/>
  <c r="H230" i="1"/>
  <c r="H227" i="1"/>
  <c r="H224" i="1"/>
  <c r="H221" i="1"/>
  <c r="H218" i="1" l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18" i="1"/>
  <c r="E219" i="1"/>
  <c r="E220" i="1"/>
  <c r="E221" i="1"/>
  <c r="E222" i="1"/>
  <c r="E223" i="1"/>
  <c r="H215" i="1"/>
  <c r="H212" i="1" l="1"/>
  <c r="H209" i="1"/>
  <c r="H206" i="1"/>
  <c r="H203" i="1"/>
  <c r="H200" i="1"/>
  <c r="H197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H194" i="1" l="1"/>
  <c r="H191" i="1"/>
  <c r="H188" i="1"/>
  <c r="H185" i="1"/>
  <c r="H182" i="1"/>
  <c r="H179" i="1"/>
  <c r="H176" i="1"/>
  <c r="H173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H170" i="1"/>
  <c r="H167" i="1"/>
  <c r="E166" i="1" l="1"/>
  <c r="E140" i="1" l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7" i="1"/>
  <c r="E168" i="1"/>
  <c r="E169" i="1"/>
  <c r="H164" i="1" l="1"/>
  <c r="H161" i="1"/>
  <c r="H152" i="1"/>
  <c r="H158" i="1"/>
  <c r="H155" i="1" l="1"/>
  <c r="H149" i="1"/>
  <c r="H146" i="1"/>
  <c r="H143" i="1"/>
  <c r="H140" i="1"/>
  <c r="H137" i="1" l="1"/>
  <c r="E137" i="1"/>
  <c r="E138" i="1"/>
  <c r="E139" i="1"/>
  <c r="H134" i="1"/>
  <c r="G116" i="1" l="1"/>
  <c r="G1027" i="1" s="1"/>
  <c r="H1027" i="1" s="1"/>
  <c r="E118" i="1"/>
  <c r="E117" i="1"/>
  <c r="E116" i="1"/>
  <c r="H125" i="1" l="1"/>
  <c r="E136" i="1" l="1"/>
  <c r="H131" i="1"/>
  <c r="E132" i="1"/>
  <c r="E133" i="1"/>
  <c r="E134" i="1"/>
  <c r="E135" i="1"/>
  <c r="H128" i="1"/>
  <c r="H122" i="1"/>
  <c r="H119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H113" i="1" l="1"/>
  <c r="H110" i="1"/>
  <c r="H107" i="1"/>
  <c r="E112" i="1"/>
  <c r="E111" i="1"/>
  <c r="E110" i="1"/>
  <c r="E109" i="1" l="1"/>
  <c r="H104" i="1"/>
  <c r="E105" i="1"/>
  <c r="E106" i="1"/>
  <c r="E113" i="1"/>
  <c r="E114" i="1"/>
  <c r="E115" i="1"/>
  <c r="E107" i="1"/>
  <c r="E108" i="1"/>
  <c r="H101" i="1"/>
  <c r="H98" i="1"/>
  <c r="H95" i="1"/>
  <c r="E97" i="1"/>
  <c r="E98" i="1"/>
  <c r="E99" i="1"/>
  <c r="E100" i="1"/>
  <c r="E101" i="1"/>
  <c r="E102" i="1"/>
  <c r="E103" i="1"/>
  <c r="E104" i="1"/>
  <c r="H92" i="1"/>
  <c r="H89" i="1" l="1"/>
  <c r="H86" i="1"/>
  <c r="H83" i="1"/>
  <c r="H80" i="1"/>
  <c r="H77" i="1"/>
  <c r="H74" i="1"/>
  <c r="H71" i="1"/>
  <c r="H68" i="1"/>
  <c r="H65" i="1"/>
  <c r="H62" i="1"/>
  <c r="H59" i="1"/>
  <c r="H56" i="1"/>
  <c r="H53" i="1"/>
  <c r="H50" i="1"/>
  <c r="H48" i="1"/>
  <c r="H46" i="1"/>
  <c r="H44" i="1"/>
  <c r="H42" i="1"/>
  <c r="H40" i="1"/>
  <c r="H9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83" i="1" l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H39" i="1"/>
  <c r="E39" i="1"/>
  <c r="E38" i="1"/>
  <c r="E37" i="1"/>
  <c r="E36" i="1"/>
  <c r="H35" i="1"/>
  <c r="E35" i="1"/>
  <c r="E34" i="1"/>
  <c r="E33" i="1"/>
  <c r="E32" i="1"/>
  <c r="H31" i="1"/>
  <c r="E31" i="1"/>
  <c r="E30" i="1"/>
  <c r="E29" i="1"/>
  <c r="E28" i="1"/>
  <c r="H27" i="1"/>
  <c r="E27" i="1"/>
  <c r="H26" i="1"/>
  <c r="E26" i="1"/>
  <c r="E25" i="1"/>
  <c r="E24" i="1"/>
  <c r="H23" i="1"/>
  <c r="E23" i="1"/>
  <c r="H22" i="1"/>
  <c r="E22" i="1"/>
  <c r="E21" i="1"/>
  <c r="E20" i="1"/>
  <c r="E19" i="1"/>
  <c r="H18" i="1"/>
  <c r="E18" i="1"/>
  <c r="H17" i="1"/>
  <c r="E17" i="1"/>
  <c r="H16" i="1"/>
  <c r="E16" i="1"/>
  <c r="E15" i="1"/>
  <c r="E14" i="1"/>
  <c r="E13" i="1"/>
  <c r="H12" i="1"/>
  <c r="E12" i="1"/>
  <c r="E11" i="1"/>
  <c r="E10" i="1"/>
  <c r="E9" i="1"/>
  <c r="H8" i="1"/>
  <c r="E8" i="1"/>
  <c r="H7" i="1"/>
  <c r="E7" i="1"/>
  <c r="H6" i="1"/>
  <c r="E6" i="1"/>
</calcChain>
</file>

<file path=xl/sharedStrings.xml><?xml version="1.0" encoding="utf-8"?>
<sst xmlns="http://schemas.openxmlformats.org/spreadsheetml/2006/main" count="1408" uniqueCount="441">
  <si>
    <t>Fecha</t>
  </si>
  <si>
    <t>Tambo</t>
  </si>
  <si>
    <t>Número 
de Tambo</t>
  </si>
  <si>
    <t>Litros
(Ticket)</t>
  </si>
  <si>
    <t>Litros
(Planilla)</t>
  </si>
  <si>
    <t>Temperatura</t>
  </si>
  <si>
    <t>Grasa</t>
  </si>
  <si>
    <t>Proteína</t>
  </si>
  <si>
    <t>Huaca Hue</t>
  </si>
  <si>
    <t>Santa Isabel</t>
  </si>
  <si>
    <t>Don Enrique (Amalina)</t>
  </si>
  <si>
    <t>Estancia Aleluya</t>
  </si>
  <si>
    <t>N°Remito</t>
  </si>
  <si>
    <t>0073-00000049</t>
  </si>
  <si>
    <t>0073-00000048</t>
  </si>
  <si>
    <t>0073-00000007</t>
  </si>
  <si>
    <t>0073-00000008</t>
  </si>
  <si>
    <t>0073-00000002</t>
  </si>
  <si>
    <t>0073-00000004</t>
  </si>
  <si>
    <t>0073-00000005</t>
  </si>
  <si>
    <t>0073-00000006</t>
  </si>
  <si>
    <t>0073-00000050</t>
  </si>
  <si>
    <t>0073-00000010</t>
  </si>
  <si>
    <t>0073-00000011</t>
  </si>
  <si>
    <t>Código</t>
  </si>
  <si>
    <t>0073-00000013</t>
  </si>
  <si>
    <t>Codigo Viejo</t>
  </si>
  <si>
    <t>0073-00000009</t>
  </si>
  <si>
    <t>0073-00000014</t>
  </si>
  <si>
    <t>0073-00000024</t>
  </si>
  <si>
    <t>0073-000000XX</t>
  </si>
  <si>
    <t>0073-00000047</t>
  </si>
  <si>
    <t>0073-00000017</t>
  </si>
  <si>
    <t>0073-00000046</t>
  </si>
  <si>
    <t>0073-00000015</t>
  </si>
  <si>
    <t>0073-00000016</t>
  </si>
  <si>
    <t>0073-0000017</t>
  </si>
  <si>
    <t>0073-00000045</t>
  </si>
  <si>
    <t>0073-00000044</t>
  </si>
  <si>
    <t>0073-0000044</t>
  </si>
  <si>
    <t>Diferencia</t>
  </si>
  <si>
    <t>Totales</t>
  </si>
  <si>
    <t>0073-00000043</t>
  </si>
  <si>
    <t>N/A</t>
  </si>
  <si>
    <t>0073-00000020</t>
  </si>
  <si>
    <t>0073-00000023</t>
  </si>
  <si>
    <t>0073-00000030</t>
  </si>
  <si>
    <t>0073-00000031</t>
  </si>
  <si>
    <t>Resumen OD-PRO-03</t>
  </si>
  <si>
    <t>0073-00000021</t>
  </si>
  <si>
    <t>0073-00000022</t>
  </si>
  <si>
    <t>0073-00000018</t>
  </si>
  <si>
    <t>0073-00000039</t>
  </si>
  <si>
    <t>0073-00000040</t>
  </si>
  <si>
    <t>0073-00000025</t>
  </si>
  <si>
    <t>0073-00000033</t>
  </si>
  <si>
    <t>0073-00000035</t>
  </si>
  <si>
    <t>0073-00000036</t>
  </si>
  <si>
    <t>0073-00000041</t>
  </si>
  <si>
    <t>0073-00000026</t>
  </si>
  <si>
    <t>0073-00000029</t>
  </si>
  <si>
    <t>0073-00000027</t>
  </si>
  <si>
    <t>0073-00000028</t>
  </si>
  <si>
    <t>0073-00000032</t>
  </si>
  <si>
    <t>0073-00000051</t>
  </si>
  <si>
    <t>0073-00000052</t>
  </si>
  <si>
    <t>0073-00000053</t>
  </si>
  <si>
    <t>0073-00000054</t>
  </si>
  <si>
    <t>0073-00000055</t>
  </si>
  <si>
    <t>0073-00000056</t>
  </si>
  <si>
    <t>0073-00000057</t>
  </si>
  <si>
    <t>0073-00000058</t>
  </si>
  <si>
    <t>0073-00000059</t>
  </si>
  <si>
    <t>0073-00000060</t>
  </si>
  <si>
    <t>0073-00000061</t>
  </si>
  <si>
    <t>0073-00000062</t>
  </si>
  <si>
    <t>0073-00000064</t>
  </si>
  <si>
    <t>0073-00000065</t>
  </si>
  <si>
    <t>0073-00000066</t>
  </si>
  <si>
    <t>0073-00000067</t>
  </si>
  <si>
    <t>0073-00000068</t>
  </si>
  <si>
    <t>0073-00000069</t>
  </si>
  <si>
    <t>0073-00000070</t>
  </si>
  <si>
    <t>0073-00000071</t>
  </si>
  <si>
    <t>0073-00000072</t>
  </si>
  <si>
    <t>0073-00000074</t>
  </si>
  <si>
    <t>0073-00000073</t>
  </si>
  <si>
    <t>0073-00000075</t>
  </si>
  <si>
    <t>0073-00000076</t>
  </si>
  <si>
    <t>0073-00000077</t>
  </si>
  <si>
    <t>0073-00000078</t>
  </si>
  <si>
    <t>0073-00000090</t>
  </si>
  <si>
    <t>0073-00000091</t>
  </si>
  <si>
    <t>0073-00000092</t>
  </si>
  <si>
    <t>0073-00000093</t>
  </si>
  <si>
    <t>0073-00000094</t>
  </si>
  <si>
    <t>0073-00000096</t>
  </si>
  <si>
    <t>0073-00000080</t>
  </si>
  <si>
    <t>0073-00000079</t>
  </si>
  <si>
    <t>0073-00000081</t>
  </si>
  <si>
    <t>0073-00000083</t>
  </si>
  <si>
    <t>0073-00000082</t>
  </si>
  <si>
    <t>0073-00000084</t>
  </si>
  <si>
    <t>0073-00000085</t>
  </si>
  <si>
    <t>0073-00000086</t>
  </si>
  <si>
    <t>0073-00000087</t>
  </si>
  <si>
    <t>0073-00000088</t>
  </si>
  <si>
    <t>0073-00000098</t>
  </si>
  <si>
    <t>0073-00000089</t>
  </si>
  <si>
    <t>0073-00000101</t>
  </si>
  <si>
    <t>0073-00000102</t>
  </si>
  <si>
    <t>0073-00000104</t>
  </si>
  <si>
    <t>0073-00000103</t>
  </si>
  <si>
    <t>0073-00000105</t>
  </si>
  <si>
    <t>0073-00000106</t>
  </si>
  <si>
    <t>0073-00000107</t>
  </si>
  <si>
    <t>0073-00000108</t>
  </si>
  <si>
    <t>0073-00000109</t>
  </si>
  <si>
    <t>0073-00000110</t>
  </si>
  <si>
    <t>0073-00000111</t>
  </si>
  <si>
    <t>0073-00000112</t>
  </si>
  <si>
    <t>0073-00000113</t>
  </si>
  <si>
    <t>0073-00000115</t>
  </si>
  <si>
    <t>0073-00000116</t>
  </si>
  <si>
    <t>0073-00000117</t>
  </si>
  <si>
    <t>0073-00000123</t>
  </si>
  <si>
    <t>0073-00000125</t>
  </si>
  <si>
    <t>0073-00000126</t>
  </si>
  <si>
    <t>0073-00000127</t>
  </si>
  <si>
    <t>0073-00000128</t>
  </si>
  <si>
    <t>0073-00000129</t>
  </si>
  <si>
    <t>0073-00000130</t>
  </si>
  <si>
    <t>0073-00000131</t>
  </si>
  <si>
    <t>0073-00000132</t>
  </si>
  <si>
    <t>0073-00000133</t>
  </si>
  <si>
    <t>0073-00000134</t>
  </si>
  <si>
    <t>0073-00000135</t>
  </si>
  <si>
    <t>0073-00000136</t>
  </si>
  <si>
    <t>0073-00000138</t>
  </si>
  <si>
    <t>0073-00000137</t>
  </si>
  <si>
    <t>0073-00000139</t>
  </si>
  <si>
    <t>0073-00000140</t>
  </si>
  <si>
    <t>0073-00000141</t>
  </si>
  <si>
    <t>0073-00000143</t>
  </si>
  <si>
    <t>0073-00000144</t>
  </si>
  <si>
    <t>0073-00000145</t>
  </si>
  <si>
    <t>0073-00000146</t>
  </si>
  <si>
    <t>0073-00000147</t>
  </si>
  <si>
    <t>0073-00000148</t>
  </si>
  <si>
    <t>0073-00000149</t>
  </si>
  <si>
    <t>0073-00000151</t>
  </si>
  <si>
    <t>0073-00000152</t>
  </si>
  <si>
    <t>0073-00000153</t>
  </si>
  <si>
    <t>0073-00000155</t>
  </si>
  <si>
    <t>0073-00000156</t>
  </si>
  <si>
    <t>0073-00000157</t>
  </si>
  <si>
    <t>0073-00000158</t>
  </si>
  <si>
    <t>0073-00000159</t>
  </si>
  <si>
    <t>0073-00000160</t>
  </si>
  <si>
    <t>0073-00000161</t>
  </si>
  <si>
    <t>0073-00000162</t>
  </si>
  <si>
    <t>0073-00000163</t>
  </si>
  <si>
    <t>Larregain Pedro</t>
  </si>
  <si>
    <t>0073-00000164</t>
  </si>
  <si>
    <t>0073-00000165</t>
  </si>
  <si>
    <t>0073-00000166</t>
  </si>
  <si>
    <t>0073-00000167</t>
  </si>
  <si>
    <t>0073-00000168</t>
  </si>
  <si>
    <t>0073-00000169</t>
  </si>
  <si>
    <t>0073-00000170</t>
  </si>
  <si>
    <t>0073-00000171</t>
  </si>
  <si>
    <t>0073-00000172</t>
  </si>
  <si>
    <t>0073-00000173</t>
  </si>
  <si>
    <t>0073-00000174</t>
  </si>
  <si>
    <t>0073-00000175</t>
  </si>
  <si>
    <t>0073-00000176</t>
  </si>
  <si>
    <t>0073-00000177</t>
  </si>
  <si>
    <t>0073-00000178</t>
  </si>
  <si>
    <t>0073-00000179</t>
  </si>
  <si>
    <t>0073-00000180</t>
  </si>
  <si>
    <t>0073-00000181</t>
  </si>
  <si>
    <t>Brivio Eduardo (TBR)</t>
  </si>
  <si>
    <t>Larregain Hnos (TLR)</t>
  </si>
  <si>
    <t>16-1</t>
  </si>
  <si>
    <t>16-2</t>
  </si>
  <si>
    <t>0073-00000182</t>
  </si>
  <si>
    <t>0073-00000183</t>
  </si>
  <si>
    <t>0073-00000184</t>
  </si>
  <si>
    <t>0073-00000185</t>
  </si>
  <si>
    <t>0073-00000186</t>
  </si>
  <si>
    <t>0073-00000187</t>
  </si>
  <si>
    <t>0073-00000188</t>
  </si>
  <si>
    <t>0073-00000189</t>
  </si>
  <si>
    <t>0073-00000190</t>
  </si>
  <si>
    <t>0073-00000191</t>
  </si>
  <si>
    <t>0073-00000192</t>
  </si>
  <si>
    <t>0073-00000193</t>
  </si>
  <si>
    <t>0073-00000194</t>
  </si>
  <si>
    <t>0073-00000195</t>
  </si>
  <si>
    <t>0073-00000295</t>
  </si>
  <si>
    <t>0073-00000196</t>
  </si>
  <si>
    <t>0073-00000197</t>
  </si>
  <si>
    <t>0073-00000198</t>
  </si>
  <si>
    <t>0073-00000199</t>
  </si>
  <si>
    <t>0073-00000200</t>
  </si>
  <si>
    <t>0073-00000201</t>
  </si>
  <si>
    <t>0073-00000202</t>
  </si>
  <si>
    <t>0073-00000203</t>
  </si>
  <si>
    <t>0073-00000204</t>
  </si>
  <si>
    <t>0073-00000205</t>
  </si>
  <si>
    <t>0073-00000206</t>
  </si>
  <si>
    <t>0073-00000207</t>
  </si>
  <si>
    <t>0073-00000208</t>
  </si>
  <si>
    <t>0073-00000209</t>
  </si>
  <si>
    <t>0073-00000210</t>
  </si>
  <si>
    <t>0073-00000211</t>
  </si>
  <si>
    <t>0073-00000212</t>
  </si>
  <si>
    <t>0073-00000213</t>
  </si>
  <si>
    <t>0073-00000214</t>
  </si>
  <si>
    <t>0073-00000215</t>
  </si>
  <si>
    <t>0073-00000216</t>
  </si>
  <si>
    <t>13</t>
  </si>
  <si>
    <t>0073-00000217</t>
  </si>
  <si>
    <t>10</t>
  </si>
  <si>
    <t>0073-00000218</t>
  </si>
  <si>
    <t>0073-00000219</t>
  </si>
  <si>
    <t>0073-00000220</t>
  </si>
  <si>
    <t>0073-00000221</t>
  </si>
  <si>
    <t>0073-00000222</t>
  </si>
  <si>
    <t>0073-00000223</t>
  </si>
  <si>
    <t>0073-00000224</t>
  </si>
  <si>
    <t>0073-00000225</t>
  </si>
  <si>
    <t>0073-00000226</t>
  </si>
  <si>
    <t>0073-00000227</t>
  </si>
  <si>
    <t>0073-00000228</t>
  </si>
  <si>
    <t>0073-00000229</t>
  </si>
  <si>
    <t>0073-00000231</t>
  </si>
  <si>
    <t>0073-00000230</t>
  </si>
  <si>
    <t>0073-00000232</t>
  </si>
  <si>
    <t>0073-00000233</t>
  </si>
  <si>
    <t>11</t>
  </si>
  <si>
    <t>0073-00000252</t>
  </si>
  <si>
    <t>22</t>
  </si>
  <si>
    <t>Trueba Roberto</t>
  </si>
  <si>
    <t>0073-00000251</t>
  </si>
  <si>
    <t>17</t>
  </si>
  <si>
    <t>Raycle</t>
  </si>
  <si>
    <t>12</t>
  </si>
  <si>
    <t>0073-00000234</t>
  </si>
  <si>
    <t>0073-00000235</t>
  </si>
  <si>
    <t>0073-00000253</t>
  </si>
  <si>
    <t>0073-00000254</t>
  </si>
  <si>
    <t>0073-00000236</t>
  </si>
  <si>
    <t>0073-00000237</t>
  </si>
  <si>
    <t>0073-00000255</t>
  </si>
  <si>
    <t>0073-00000256</t>
  </si>
  <si>
    <t>0073-00000239</t>
  </si>
  <si>
    <t>0073-00000240</t>
  </si>
  <si>
    <t>0073-00000241</t>
  </si>
  <si>
    <t>0073-00000242</t>
  </si>
  <si>
    <t>0073-00000243</t>
  </si>
  <si>
    <t>0073-00000266</t>
  </si>
  <si>
    <t>0073-00000244</t>
  </si>
  <si>
    <t>0073-00000265</t>
  </si>
  <si>
    <t>0073-00000245</t>
  </si>
  <si>
    <t>0073-00000263</t>
  </si>
  <si>
    <t>0073-00000246</t>
  </si>
  <si>
    <t>0073-00000264</t>
  </si>
  <si>
    <t>0073-00000247</t>
  </si>
  <si>
    <t>0073-00000267</t>
  </si>
  <si>
    <t>0073-00000248</t>
  </si>
  <si>
    <t>0073-00000268</t>
  </si>
  <si>
    <t>0073-00000250</t>
  </si>
  <si>
    <t>0073-00000269</t>
  </si>
  <si>
    <t>0073-00000270</t>
  </si>
  <si>
    <t>0073-00000301</t>
  </si>
  <si>
    <t>0073-00000302</t>
  </si>
  <si>
    <t>0073-00000303</t>
  </si>
  <si>
    <t>0073-00000304</t>
  </si>
  <si>
    <t>0073-00000280</t>
  </si>
  <si>
    <t>0073-00000279</t>
  </si>
  <si>
    <t>0073-00000305</t>
  </si>
  <si>
    <t>La Victoria</t>
  </si>
  <si>
    <t>0073-00000282</t>
  </si>
  <si>
    <t>0073-00000281</t>
  </si>
  <si>
    <t>0073-00000306</t>
  </si>
  <si>
    <t>0073-00000284</t>
  </si>
  <si>
    <t>0073-00000283</t>
  </si>
  <si>
    <t>0073-00000307</t>
  </si>
  <si>
    <t>0073-00000286</t>
  </si>
  <si>
    <t>0073-00000285</t>
  </si>
  <si>
    <t>0073-00000288</t>
  </si>
  <si>
    <t>0073-00000308</t>
  </si>
  <si>
    <t>0073-00000289</t>
  </si>
  <si>
    <t>0073-00000309</t>
  </si>
  <si>
    <t>0073-00000290</t>
  </si>
  <si>
    <t>0073-00000291</t>
  </si>
  <si>
    <t>0073-00000292</t>
  </si>
  <si>
    <t>0073-00000310</t>
  </si>
  <si>
    <t>0073-00000293</t>
  </si>
  <si>
    <t>0073-00000294</t>
  </si>
  <si>
    <t>0073-00000312</t>
  </si>
  <si>
    <t>0073-00000314</t>
  </si>
  <si>
    <t>0073-00000313</t>
  </si>
  <si>
    <t>0073-00000296</t>
  </si>
  <si>
    <t>Raycle S.A.</t>
  </si>
  <si>
    <t>0073-00000315</t>
  </si>
  <si>
    <t>0073-00000298</t>
  </si>
  <si>
    <t>0073-00000316</t>
  </si>
  <si>
    <t>0073-00000317</t>
  </si>
  <si>
    <t>0073-00000318</t>
  </si>
  <si>
    <t>0073-00000320</t>
  </si>
  <si>
    <t>0073-00000319</t>
  </si>
  <si>
    <t>0073-00000321</t>
  </si>
  <si>
    <t>0073-00000322</t>
  </si>
  <si>
    <t>0073-00000323</t>
  </si>
  <si>
    <t>0073-00000324</t>
  </si>
  <si>
    <t>0073-00000325</t>
  </si>
  <si>
    <t>0073-00000351</t>
  </si>
  <si>
    <t>0073-00000327</t>
  </si>
  <si>
    <t>0073-00000353</t>
  </si>
  <si>
    <t>0073-00000352</t>
  </si>
  <si>
    <t>0073-00000328</t>
  </si>
  <si>
    <t>La Romelina</t>
  </si>
  <si>
    <t>0073-00000354</t>
  </si>
  <si>
    <t>0073-00000355</t>
  </si>
  <si>
    <t>0073-00000356</t>
  </si>
  <si>
    <t>0073-00000329</t>
  </si>
  <si>
    <t>0073-00000357</t>
  </si>
  <si>
    <t>0073-00000358</t>
  </si>
  <si>
    <t>0073-00000330</t>
  </si>
  <si>
    <t>0073-00000359</t>
  </si>
  <si>
    <t>0073-00000361</t>
  </si>
  <si>
    <t>0073-00000360</t>
  </si>
  <si>
    <t>0073-00000331</t>
  </si>
  <si>
    <t>0073-00000332</t>
  </si>
  <si>
    <t>0073-00000333</t>
  </si>
  <si>
    <t>0073-00000362</t>
  </si>
  <si>
    <t>0073-00000363</t>
  </si>
  <si>
    <t>0073-00000366</t>
  </si>
  <si>
    <t>0073-00000364</t>
  </si>
  <si>
    <t>0073-00000367</t>
  </si>
  <si>
    <t>0073-00000368</t>
  </si>
  <si>
    <t>0073-00000369</t>
  </si>
  <si>
    <t>0073-00000334</t>
  </si>
  <si>
    <t>0073-00000335</t>
  </si>
  <si>
    <t>0073-00000373</t>
  </si>
  <si>
    <t>0073-00000374</t>
  </si>
  <si>
    <t>0073-00000337</t>
  </si>
  <si>
    <t>0073-00000372</t>
  </si>
  <si>
    <t>0073-00000336</t>
  </si>
  <si>
    <t>0073-00000371</t>
  </si>
  <si>
    <t>0073-00000375</t>
  </si>
  <si>
    <t>0073-00000376</t>
  </si>
  <si>
    <t>0073-00000338</t>
  </si>
  <si>
    <t>0073-00000377</t>
  </si>
  <si>
    <t>0073-00000339</t>
  </si>
  <si>
    <t>0073-00000341</t>
  </si>
  <si>
    <t>0073-00000340</t>
  </si>
  <si>
    <t>0073-00000378</t>
  </si>
  <si>
    <t>0073-00000379</t>
  </si>
  <si>
    <t>0073-00000380</t>
  </si>
  <si>
    <t>0073-00000342</t>
  </si>
  <si>
    <t>0073-00000381</t>
  </si>
  <si>
    <t>0073-00000343</t>
  </si>
  <si>
    <t>0073-00000382</t>
  </si>
  <si>
    <t>0073-00000384</t>
  </si>
  <si>
    <t>0073-00000344</t>
  </si>
  <si>
    <t>0073-00000385</t>
  </si>
  <si>
    <t>0073-00000345</t>
  </si>
  <si>
    <t>0073-00000386</t>
  </si>
  <si>
    <t>0073-00000389</t>
  </si>
  <si>
    <t>0073-00000346</t>
  </si>
  <si>
    <t>0073-00000388</t>
  </si>
  <si>
    <t>0073-00000348</t>
  </si>
  <si>
    <t>0073-00000390</t>
  </si>
  <si>
    <t>0073-00000271</t>
  </si>
  <si>
    <t>0073-00000272</t>
  </si>
  <si>
    <t>0073-00000391</t>
  </si>
  <si>
    <t>0073-00000392</t>
  </si>
  <si>
    <t>0073-00000393</t>
  </si>
  <si>
    <t>Viejo Ceibo</t>
  </si>
  <si>
    <t>0073-00000349</t>
  </si>
  <si>
    <t>0073-00000350</t>
  </si>
  <si>
    <t>0073-00000274</t>
  </si>
  <si>
    <t>0073-00000273</t>
  </si>
  <si>
    <t>0073-00000275</t>
  </si>
  <si>
    <t>0073-00000396</t>
  </si>
  <si>
    <t>0073-00000276</t>
  </si>
  <si>
    <t>0073-00000401</t>
  </si>
  <si>
    <t>0073-00000402</t>
  </si>
  <si>
    <t>0073-00000397</t>
  </si>
  <si>
    <t>0073-00000398</t>
  </si>
  <si>
    <t>0073-00000403</t>
  </si>
  <si>
    <t>0073-00000399</t>
  </si>
  <si>
    <t>0073-00000400</t>
  </si>
  <si>
    <t>0073-00000404</t>
  </si>
  <si>
    <t>0073-00000501</t>
  </si>
  <si>
    <t>0073-00000502</t>
  </si>
  <si>
    <t>0073-00000503</t>
  </si>
  <si>
    <t>0073-00000504</t>
  </si>
  <si>
    <t>0073-00000505</t>
  </si>
  <si>
    <t>0073-00000405</t>
  </si>
  <si>
    <t>0073-00000450</t>
  </si>
  <si>
    <t>0073-0000406</t>
  </si>
  <si>
    <t>midio el tambo (Ojo a la hora de liquidar).</t>
  </si>
  <si>
    <t>0073-00000553</t>
  </si>
  <si>
    <t>0073-00000551</t>
  </si>
  <si>
    <t>0073-00000506</t>
  </si>
  <si>
    <t>0073-00000407</t>
  </si>
  <si>
    <t>0073-00000507</t>
  </si>
  <si>
    <t>0073-00000408</t>
  </si>
  <si>
    <t>0073-00000383</t>
  </si>
  <si>
    <t>0073-00000387</t>
  </si>
  <si>
    <t>0073-00000555</t>
  </si>
  <si>
    <t>0073-00000556</t>
  </si>
  <si>
    <t>0073-00000508</t>
  </si>
  <si>
    <t>0073-00000410</t>
  </si>
  <si>
    <t>0073-00000409</t>
  </si>
  <si>
    <t>0073-00000559</t>
  </si>
  <si>
    <t>0073-00000411</t>
  </si>
  <si>
    <t>0073-00000558</t>
  </si>
  <si>
    <t>0073-00000509</t>
  </si>
  <si>
    <t>0073-00000560</t>
  </si>
  <si>
    <t>0073-00000412</t>
  </si>
  <si>
    <t>0073-00000510</t>
  </si>
  <si>
    <t>0073-0000413</t>
  </si>
  <si>
    <t>0073-00000511</t>
  </si>
  <si>
    <t>0073-00000414</t>
  </si>
  <si>
    <t>0073-00000512</t>
  </si>
  <si>
    <t>0073-00000562</t>
  </si>
  <si>
    <t>0073-00000415</t>
  </si>
  <si>
    <t>0073-00000563</t>
  </si>
  <si>
    <t>0073-00000564</t>
  </si>
  <si>
    <t>0073-00000513</t>
  </si>
  <si>
    <t>0073-00000416</t>
  </si>
  <si>
    <t>0073-00000565</t>
  </si>
  <si>
    <t>0073-00000417</t>
  </si>
  <si>
    <t>0073-00000516</t>
  </si>
  <si>
    <t>0073-00000514</t>
  </si>
  <si>
    <t>0073-00000517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</si>
</sst>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1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4" xfId="0" applyNumberFormat="1" applyBorder="1" applyAlignment="1">
      <alignment horizontal="center"/>
    </xf>
    <xf numFmtId="16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2" fillId="0" borderId="3" xfId="1" applyNumberFormat="1" applyFont="1" applyBorder="1" applyAlignment="1">
      <alignment horizontal="center"/>
    </xf>
    <xf numFmtId="1" fontId="2" fillId="2" borderId="3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9" fontId="0" fillId="0" borderId="0" xfId="1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6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16" fontId="2" fillId="2" borderId="8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" fontId="2" fillId="2" borderId="10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" fontId="2" fillId="4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16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16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/>
    </xf>
    <xf numFmtId="16" fontId="2" fillId="4" borderId="5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6" fontId="2" fillId="4" borderId="8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" fontId="2" fillId="4" borderId="10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6" fontId="2" fillId="3" borderId="5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16" fontId="2" fillId="3" borderId="8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" fontId="2" fillId="3" borderId="10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16" fontId="2" fillId="3" borderId="13" xfId="0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" fontId="2" fillId="4" borderId="13" xfId="0" applyNumberFormat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16" fontId="2" fillId="3" borderId="4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" fontId="2" fillId="4" borderId="4" xfId="0" applyNumberFormat="1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/>
    </xf>
    <xf numFmtId="1" fontId="2" fillId="4" borderId="10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" fontId="2" fillId="2" borderId="8" xfId="0" applyNumberFormat="1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1" fontId="2" fillId="3" borderId="8" xfId="0" applyNumberFormat="1" applyFont="1" applyFill="1" applyBorder="1" applyAlignment="1">
      <alignment horizontal="center"/>
    </xf>
    <xf numFmtId="1" fontId="2" fillId="3" borderId="10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1" fontId="2" fillId="3" borderId="0" xfId="0" applyNumberFormat="1" applyFont="1" applyFill="1" applyAlignment="1">
      <alignment horizontal="center"/>
    </xf>
    <xf numFmtId="1" fontId="2" fillId="3" borderId="11" xfId="0" applyNumberFormat="1" applyFont="1" applyFill="1" applyBorder="1" applyAlignment="1">
      <alignment horizontal="center"/>
    </xf>
    <xf numFmtId="1" fontId="2" fillId="3" borderId="13" xfId="0" applyNumberFormat="1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1" fontId="2" fillId="3" borderId="15" xfId="0" applyNumberFormat="1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0" fillId="0" borderId="0" xfId="0" applyNumberFormat="1"/>
    <xf numFmtId="16" fontId="2" fillId="3" borderId="1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0" fillId="4" borderId="0" xfId="0" applyFill="1"/>
    <xf numFmtId="49" fontId="2" fillId="4" borderId="4" xfId="0" applyNumberFormat="1" applyFont="1" applyFill="1" applyBorder="1" applyAlignment="1">
      <alignment horizontal="center"/>
    </xf>
    <xf numFmtId="0" fontId="0" fillId="6" borderId="0" xfId="0" applyFill="1"/>
    <xf numFmtId="16" fontId="0" fillId="0" borderId="0" xfId="0" applyNumberFormat="1"/>
    <xf numFmtId="49" fontId="2" fillId="3" borderId="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1028"/>
  <sheetViews>
    <sheetView tabSelected="1" topLeftCell="A995" zoomScale="80" zoomScaleNormal="80" workbookViewId="0">
      <selection activeCell="I1021" sqref="I1021"/>
    </sheetView>
  </sheetViews>
  <sheetFormatPr baseColWidth="10" defaultRowHeight="14.4" x14ac:dyDescent="0.3"/>
  <cols>
    <col min="1" max="1" width="3" customWidth="1"/>
    <col min="3" max="3" width="13.6640625" bestFit="1" customWidth="1"/>
    <col min="4" max="4" width="11.5546875" style="177"/>
    <col min="5" max="5" width="20.6640625" bestFit="1" customWidth="1"/>
    <col min="15" max="16" width="13.33203125" customWidth="1"/>
    <col min="17" max="17" width="18.109375" customWidth="1"/>
    <col min="18" max="18" width="13.109375" customWidth="1"/>
  </cols>
  <sheetData>
    <row r="2" spans="2:11" x14ac:dyDescent="0.3">
      <c r="B2" s="190" t="s">
        <v>48</v>
      </c>
      <c r="C2" s="190"/>
      <c r="D2" s="190"/>
      <c r="E2" s="190"/>
      <c r="F2" s="190"/>
      <c r="G2" s="190"/>
      <c r="H2" s="190"/>
      <c r="I2" s="190"/>
      <c r="J2" s="190"/>
      <c r="K2" s="190"/>
    </row>
    <row r="3" spans="2:11" x14ac:dyDescent="0.3">
      <c r="B3" s="190"/>
      <c r="C3" s="190"/>
      <c r="D3" s="190"/>
      <c r="E3" s="190"/>
      <c r="F3" s="190"/>
      <c r="G3" s="190"/>
      <c r="H3" s="190"/>
      <c r="I3" s="190"/>
      <c r="J3" s="190"/>
      <c r="K3" s="190"/>
    </row>
    <row r="5" spans="2:11" ht="27.6" x14ac:dyDescent="0.3">
      <c r="B5" s="1" t="s">
        <v>0</v>
      </c>
      <c r="C5" s="1" t="s">
        <v>12</v>
      </c>
      <c r="D5" s="144" t="s">
        <v>2</v>
      </c>
      <c r="E5" s="1" t="s">
        <v>1</v>
      </c>
      <c r="F5" s="2" t="s">
        <v>3</v>
      </c>
      <c r="G5" s="2" t="s">
        <v>4</v>
      </c>
      <c r="H5" s="2" t="s">
        <v>40</v>
      </c>
      <c r="I5" s="2" t="s">
        <v>5</v>
      </c>
      <c r="J5" s="2" t="s">
        <v>6</v>
      </c>
      <c r="K5" s="2" t="s">
        <v>7</v>
      </c>
    </row>
    <row r="6" spans="2:11" x14ac:dyDescent="0.3">
      <c r="B6" s="3">
        <v>45672</v>
      </c>
      <c r="C6" s="4" t="s">
        <v>17</v>
      </c>
      <c r="D6" s="145">
        <v>10</v>
      </c>
      <c r="E6" s="4" t="str">
        <f>+VLOOKUP(D6,'Código Tambos'!$B$2:$C$6,2,TRUE)</f>
        <v>Huaca Hue</v>
      </c>
      <c r="F6" s="4">
        <v>8555</v>
      </c>
      <c r="G6" s="4">
        <v>8555</v>
      </c>
      <c r="H6" s="4">
        <f>+G6-F6</f>
        <v>0</v>
      </c>
      <c r="I6" s="4">
        <v>4</v>
      </c>
      <c r="J6" s="4"/>
      <c r="K6" s="4"/>
    </row>
    <row r="7" spans="2:11" x14ac:dyDescent="0.3">
      <c r="B7" s="5">
        <v>45673</v>
      </c>
      <c r="C7" s="6" t="s">
        <v>18</v>
      </c>
      <c r="D7" s="146">
        <v>10</v>
      </c>
      <c r="E7" s="6" t="str">
        <f>+VLOOKUP(D7,'Código Tambos'!$B$2:$C$6,2,TRUE)</f>
        <v>Huaca Hue</v>
      </c>
      <c r="F7" s="6">
        <v>8563</v>
      </c>
      <c r="G7" s="6">
        <v>8534</v>
      </c>
      <c r="H7" s="38">
        <f>+G7-F7</f>
        <v>-29</v>
      </c>
      <c r="I7" s="6">
        <v>3.9</v>
      </c>
      <c r="J7" s="6"/>
      <c r="K7" s="6"/>
    </row>
    <row r="8" spans="2:11" x14ac:dyDescent="0.3">
      <c r="B8" s="3">
        <v>45674</v>
      </c>
      <c r="C8" s="4" t="s">
        <v>19</v>
      </c>
      <c r="D8" s="145">
        <v>10</v>
      </c>
      <c r="E8" s="4" t="str">
        <f>+VLOOKUP(D8,'Código Tambos'!$B$2:$C$6,2,TRUE)</f>
        <v>Huaca Hue</v>
      </c>
      <c r="F8" s="4">
        <v>8733</v>
      </c>
      <c r="G8" s="4">
        <v>8812</v>
      </c>
      <c r="H8" s="39">
        <f>+G8-F8</f>
        <v>79</v>
      </c>
      <c r="I8" s="4">
        <v>3.9</v>
      </c>
      <c r="J8" s="4"/>
      <c r="K8" s="4"/>
    </row>
    <row r="9" spans="2:11" x14ac:dyDescent="0.3">
      <c r="B9" s="7">
        <v>45675</v>
      </c>
      <c r="C9" s="8" t="s">
        <v>20</v>
      </c>
      <c r="D9" s="147">
        <v>10</v>
      </c>
      <c r="E9" s="8" t="str">
        <f>+VLOOKUP(D9,'Código Tambos'!$B$2:$C$6,2,TRUE)</f>
        <v>Huaca Hue</v>
      </c>
      <c r="F9" s="8">
        <v>8421</v>
      </c>
      <c r="G9" s="47">
        <v>14930</v>
      </c>
      <c r="H9" s="47">
        <f>+G9-SUM(F9:F11)</f>
        <v>347</v>
      </c>
      <c r="I9" s="8">
        <v>3.9</v>
      </c>
      <c r="J9" s="8"/>
      <c r="K9" s="8"/>
    </row>
    <row r="10" spans="2:11" x14ac:dyDescent="0.3">
      <c r="B10" s="9">
        <v>45675</v>
      </c>
      <c r="C10" s="10" t="s">
        <v>20</v>
      </c>
      <c r="D10" s="148">
        <v>11</v>
      </c>
      <c r="E10" s="10" t="str">
        <f>+VLOOKUP(D10,'Código Tambos'!$B$2:$C$6,2,TRUE)</f>
        <v>Don Enrique (Amalina)</v>
      </c>
      <c r="F10" s="10">
        <v>3054</v>
      </c>
      <c r="G10" s="48"/>
      <c r="H10" s="48"/>
      <c r="I10" s="10">
        <v>3.9</v>
      </c>
      <c r="J10" s="10"/>
      <c r="K10" s="10"/>
    </row>
    <row r="11" spans="2:11" x14ac:dyDescent="0.3">
      <c r="B11" s="11">
        <v>45675</v>
      </c>
      <c r="C11" s="12" t="s">
        <v>20</v>
      </c>
      <c r="D11" s="149">
        <v>12</v>
      </c>
      <c r="E11" s="12" t="str">
        <f>+VLOOKUP(D11,'Código Tambos'!$B$2:$C$6,2,TRUE)</f>
        <v>Santa Isabel</v>
      </c>
      <c r="F11" s="12">
        <v>3108</v>
      </c>
      <c r="G11" s="49"/>
      <c r="H11" s="49"/>
      <c r="I11" s="12">
        <v>3.9</v>
      </c>
      <c r="J11" s="12"/>
      <c r="K11" s="12"/>
    </row>
    <row r="12" spans="2:11" x14ac:dyDescent="0.3">
      <c r="B12" s="13">
        <v>45677</v>
      </c>
      <c r="C12" s="14" t="s">
        <v>21</v>
      </c>
      <c r="D12" s="150">
        <v>13</v>
      </c>
      <c r="E12" s="14" t="str">
        <f>+VLOOKUP(D12,'Código Tambos'!$B$2:$C$6,2,TRUE)</f>
        <v>Estancia Aleluya</v>
      </c>
      <c r="F12" s="14">
        <v>5524</v>
      </c>
      <c r="G12" s="44">
        <v>22200</v>
      </c>
      <c r="H12" s="44">
        <f>+G12-SUM(F12:F15)</f>
        <v>754</v>
      </c>
      <c r="I12" s="14">
        <v>3.5</v>
      </c>
      <c r="J12" s="14"/>
      <c r="K12" s="14"/>
    </row>
    <row r="13" spans="2:11" x14ac:dyDescent="0.3">
      <c r="B13" s="15">
        <v>45677</v>
      </c>
      <c r="C13" s="16" t="s">
        <v>21</v>
      </c>
      <c r="D13" s="151">
        <v>12</v>
      </c>
      <c r="E13" s="16" t="str">
        <f>+VLOOKUP(D13,'Código Tambos'!$B$2:$C$6,2,TRUE)</f>
        <v>Santa Isabel</v>
      </c>
      <c r="F13" s="16">
        <v>1317</v>
      </c>
      <c r="G13" s="45"/>
      <c r="H13" s="45"/>
      <c r="I13" s="16">
        <v>3.9</v>
      </c>
      <c r="J13" s="16"/>
      <c r="K13" s="16"/>
    </row>
    <row r="14" spans="2:11" x14ac:dyDescent="0.3">
      <c r="B14" s="15">
        <v>45677</v>
      </c>
      <c r="C14" s="16" t="s">
        <v>21</v>
      </c>
      <c r="D14" s="151">
        <v>10</v>
      </c>
      <c r="E14" s="16" t="str">
        <f>+VLOOKUP(D14,'Código Tambos'!$B$2:$C$6,2,TRUE)</f>
        <v>Huaca Hue</v>
      </c>
      <c r="F14" s="16">
        <v>9021</v>
      </c>
      <c r="G14" s="45"/>
      <c r="H14" s="45"/>
      <c r="I14" s="16">
        <v>3.9</v>
      </c>
      <c r="J14" s="16"/>
      <c r="K14" s="16"/>
    </row>
    <row r="15" spans="2:11" x14ac:dyDescent="0.3">
      <c r="B15" s="17">
        <v>45677</v>
      </c>
      <c r="C15" s="18" t="s">
        <v>21</v>
      </c>
      <c r="D15" s="152">
        <v>11</v>
      </c>
      <c r="E15" s="18" t="str">
        <f>+VLOOKUP(D15,'Código Tambos'!$B$2:$C$6,2,TRUE)</f>
        <v>Don Enrique (Amalina)</v>
      </c>
      <c r="F15" s="18">
        <v>5584</v>
      </c>
      <c r="G15" s="46"/>
      <c r="H15" s="46"/>
      <c r="I15" s="18">
        <v>3.9</v>
      </c>
      <c r="J15" s="18"/>
      <c r="K15" s="18"/>
    </row>
    <row r="16" spans="2:11" x14ac:dyDescent="0.3">
      <c r="B16" s="5">
        <v>45678</v>
      </c>
      <c r="C16" s="6" t="s">
        <v>21</v>
      </c>
      <c r="D16" s="146">
        <v>13</v>
      </c>
      <c r="E16" s="6" t="str">
        <f>+VLOOKUP(D16,'Código Tambos'!$B$2:$C$6,2,TRUE)</f>
        <v>Estancia Aleluya</v>
      </c>
      <c r="F16" s="6">
        <v>6054</v>
      </c>
      <c r="G16" s="6">
        <v>5886</v>
      </c>
      <c r="H16" s="6">
        <f>+G16-F16</f>
        <v>-168</v>
      </c>
      <c r="I16" s="6">
        <v>3.9</v>
      </c>
      <c r="J16" s="6"/>
      <c r="K16" s="6"/>
    </row>
    <row r="17" spans="2:11" x14ac:dyDescent="0.3">
      <c r="B17" s="3">
        <v>45679</v>
      </c>
      <c r="C17" s="3" t="s">
        <v>13</v>
      </c>
      <c r="D17" s="145">
        <v>13</v>
      </c>
      <c r="E17" s="4" t="str">
        <f>+VLOOKUP(D17,'Código Tambos'!$B$2:$C$6,2,TRUE)</f>
        <v>Estancia Aleluya</v>
      </c>
      <c r="F17" s="4">
        <v>9407</v>
      </c>
      <c r="G17" s="4">
        <v>9460</v>
      </c>
      <c r="H17" s="4">
        <f>+G17-F17</f>
        <v>53</v>
      </c>
      <c r="I17" s="4">
        <v>3.9</v>
      </c>
      <c r="J17" s="4"/>
      <c r="K17" s="4"/>
    </row>
    <row r="18" spans="2:11" x14ac:dyDescent="0.3">
      <c r="B18" s="7">
        <v>45680</v>
      </c>
      <c r="C18" s="8" t="s">
        <v>14</v>
      </c>
      <c r="D18" s="147">
        <v>11</v>
      </c>
      <c r="E18" s="8" t="str">
        <f>+VLOOKUP(D18,'Código Tambos'!$B$2:$C$6,2,TRUE)</f>
        <v>Don Enrique (Amalina)</v>
      </c>
      <c r="F18" s="8">
        <v>1075</v>
      </c>
      <c r="G18" s="47">
        <v>17480</v>
      </c>
      <c r="H18" s="47">
        <f>+G18-SUM(F18:F21)</f>
        <v>-375</v>
      </c>
      <c r="I18" s="8">
        <v>3.9</v>
      </c>
      <c r="J18" s="8"/>
      <c r="K18" s="8"/>
    </row>
    <row r="19" spans="2:11" x14ac:dyDescent="0.3">
      <c r="B19" s="9">
        <v>45680</v>
      </c>
      <c r="C19" s="10" t="s">
        <v>14</v>
      </c>
      <c r="D19" s="148">
        <v>10</v>
      </c>
      <c r="E19" s="10" t="str">
        <f>+VLOOKUP(D19,'Código Tambos'!$B$2:$C$6,2,TRUE)</f>
        <v>Huaca Hue</v>
      </c>
      <c r="F19" s="10">
        <v>4577</v>
      </c>
      <c r="G19" s="48"/>
      <c r="H19" s="48"/>
      <c r="I19" s="10">
        <v>3.9</v>
      </c>
      <c r="J19" s="10"/>
      <c r="K19" s="10"/>
    </row>
    <row r="20" spans="2:11" x14ac:dyDescent="0.3">
      <c r="B20" s="9">
        <v>45680</v>
      </c>
      <c r="C20" s="10" t="s">
        <v>14</v>
      </c>
      <c r="D20" s="148">
        <v>12</v>
      </c>
      <c r="E20" s="10" t="str">
        <f>+VLOOKUP(D20,'Código Tambos'!$B$2:$C$6,2,TRUE)</f>
        <v>Santa Isabel</v>
      </c>
      <c r="F20" s="10">
        <v>2772</v>
      </c>
      <c r="G20" s="48"/>
      <c r="H20" s="48"/>
      <c r="I20" s="10">
        <v>3.9</v>
      </c>
      <c r="J20" s="10"/>
      <c r="K20" s="10"/>
    </row>
    <row r="21" spans="2:11" x14ac:dyDescent="0.3">
      <c r="B21" s="11">
        <v>45680</v>
      </c>
      <c r="C21" s="12" t="s">
        <v>14</v>
      </c>
      <c r="D21" s="149">
        <v>13</v>
      </c>
      <c r="E21" s="12" t="str">
        <f>+VLOOKUP(D21,'Código Tambos'!$B$2:$C$6,2,TRUE)</f>
        <v>Estancia Aleluya</v>
      </c>
      <c r="F21" s="12">
        <v>9431</v>
      </c>
      <c r="G21" s="49"/>
      <c r="H21" s="49"/>
      <c r="I21" s="12">
        <v>3.9</v>
      </c>
      <c r="J21" s="12"/>
      <c r="K21" s="12"/>
    </row>
    <row r="22" spans="2:11" x14ac:dyDescent="0.3">
      <c r="B22" s="3">
        <v>45681</v>
      </c>
      <c r="C22" s="4" t="s">
        <v>15</v>
      </c>
      <c r="D22" s="145">
        <v>13</v>
      </c>
      <c r="E22" s="4" t="str">
        <f>+VLOOKUP(D22,'Código Tambos'!$B$2:$C$6,2,TRUE)</f>
        <v>Estancia Aleluya</v>
      </c>
      <c r="F22" s="4">
        <v>9618</v>
      </c>
      <c r="G22" s="4">
        <v>9966</v>
      </c>
      <c r="H22" s="4">
        <f>+G22-F22</f>
        <v>348</v>
      </c>
      <c r="I22" s="4">
        <v>3.9</v>
      </c>
      <c r="J22" s="4"/>
      <c r="K22" s="4"/>
    </row>
    <row r="23" spans="2:11" x14ac:dyDescent="0.3">
      <c r="B23" s="7">
        <v>45683</v>
      </c>
      <c r="C23" s="8" t="s">
        <v>16</v>
      </c>
      <c r="D23" s="147">
        <v>11</v>
      </c>
      <c r="E23" s="8" t="str">
        <f>+VLOOKUP(D23,'Código Tambos'!$B$2:$C$6,2,TRUE)</f>
        <v>Don Enrique (Amalina)</v>
      </c>
      <c r="F23" s="8">
        <v>5135</v>
      </c>
      <c r="G23" s="47">
        <v>29312</v>
      </c>
      <c r="H23" s="47">
        <f>+G23-SUM(F23:F25)</f>
        <v>746</v>
      </c>
      <c r="I23" s="8">
        <v>3.9</v>
      </c>
      <c r="J23" s="8"/>
      <c r="K23" s="8"/>
    </row>
    <row r="24" spans="2:11" x14ac:dyDescent="0.3">
      <c r="B24" s="9">
        <v>45683</v>
      </c>
      <c r="C24" s="10" t="s">
        <v>16</v>
      </c>
      <c r="D24" s="148">
        <v>10</v>
      </c>
      <c r="E24" s="10" t="str">
        <f>+VLOOKUP(D24,'Código Tambos'!$B$2:$C$6,2,TRUE)</f>
        <v>Huaca Hue</v>
      </c>
      <c r="F24" s="10">
        <v>13440</v>
      </c>
      <c r="G24" s="48"/>
      <c r="H24" s="48"/>
      <c r="I24" s="10">
        <v>3.9</v>
      </c>
      <c r="J24" s="10"/>
      <c r="K24" s="10"/>
    </row>
    <row r="25" spans="2:11" x14ac:dyDescent="0.3">
      <c r="B25" s="11">
        <v>45683</v>
      </c>
      <c r="C25" s="12" t="s">
        <v>16</v>
      </c>
      <c r="D25" s="149">
        <v>13</v>
      </c>
      <c r="E25" s="12" t="str">
        <f>+VLOOKUP(D25,'Código Tambos'!$B$2:$C$6,2,TRUE)</f>
        <v>Estancia Aleluya</v>
      </c>
      <c r="F25" s="12">
        <v>9991</v>
      </c>
      <c r="G25" s="49"/>
      <c r="H25" s="49"/>
      <c r="I25" s="12">
        <v>9</v>
      </c>
      <c r="J25" s="12"/>
      <c r="K25" s="12"/>
    </row>
    <row r="26" spans="2:11" x14ac:dyDescent="0.3">
      <c r="B26" s="3">
        <v>45683</v>
      </c>
      <c r="C26" s="4" t="s">
        <v>16</v>
      </c>
      <c r="D26" s="145">
        <v>12</v>
      </c>
      <c r="E26" s="4" t="str">
        <f>+VLOOKUP(D26,'Código Tambos'!$B$2:$C$6,2,TRUE)</f>
        <v>Santa Isabel</v>
      </c>
      <c r="F26" s="4">
        <v>2629</v>
      </c>
      <c r="G26" s="4">
        <v>2662</v>
      </c>
      <c r="H26" s="4">
        <f>+G26-F26</f>
        <v>33</v>
      </c>
      <c r="I26" s="4">
        <v>3.9</v>
      </c>
      <c r="J26" s="4"/>
      <c r="K26" s="4"/>
    </row>
    <row r="27" spans="2:11" x14ac:dyDescent="0.3">
      <c r="B27" s="7">
        <v>45684</v>
      </c>
      <c r="C27" s="8" t="s">
        <v>22</v>
      </c>
      <c r="D27" s="147">
        <v>11</v>
      </c>
      <c r="E27" s="8" t="str">
        <f>+VLOOKUP(D27,'Código Tambos'!$B$2:$C$6,2,TRUE)</f>
        <v>Don Enrique (Amalina)</v>
      </c>
      <c r="F27" s="8">
        <v>5054</v>
      </c>
      <c r="G27" s="47">
        <v>27124</v>
      </c>
      <c r="H27" s="47">
        <f>+G27-SUM(F27:F30)</f>
        <v>170</v>
      </c>
      <c r="I27" s="8">
        <v>3.9</v>
      </c>
      <c r="J27" s="8"/>
      <c r="K27" s="8"/>
    </row>
    <row r="28" spans="2:11" x14ac:dyDescent="0.3">
      <c r="B28" s="9">
        <v>45684</v>
      </c>
      <c r="C28" s="10" t="s">
        <v>22</v>
      </c>
      <c r="D28" s="148">
        <v>10</v>
      </c>
      <c r="E28" s="10" t="str">
        <f>+VLOOKUP(D28,'Código Tambos'!$B$2:$C$6,2,TRUE)</f>
        <v>Huaca Hue</v>
      </c>
      <c r="F28" s="10">
        <v>8834</v>
      </c>
      <c r="G28" s="48"/>
      <c r="H28" s="48"/>
      <c r="I28" s="10">
        <v>3.9</v>
      </c>
      <c r="J28" s="10"/>
      <c r="K28" s="10"/>
    </row>
    <row r="29" spans="2:11" x14ac:dyDescent="0.3">
      <c r="B29" s="9">
        <v>45684</v>
      </c>
      <c r="C29" s="10" t="s">
        <v>22</v>
      </c>
      <c r="D29" s="148">
        <v>12</v>
      </c>
      <c r="E29" s="10" t="str">
        <f>+VLOOKUP(D29,'Código Tambos'!$B$2:$C$6,2,TRUE)</f>
        <v>Santa Isabel</v>
      </c>
      <c r="F29" s="10">
        <v>2716</v>
      </c>
      <c r="G29" s="48"/>
      <c r="H29" s="48"/>
      <c r="I29" s="10">
        <v>3.9</v>
      </c>
      <c r="J29" s="10"/>
      <c r="K29" s="10"/>
    </row>
    <row r="30" spans="2:11" x14ac:dyDescent="0.3">
      <c r="B30" s="11">
        <v>45684</v>
      </c>
      <c r="C30" s="12" t="s">
        <v>22</v>
      </c>
      <c r="D30" s="149">
        <v>13</v>
      </c>
      <c r="E30" s="12" t="str">
        <f>+VLOOKUP(D30,'Código Tambos'!$B$2:$C$6,2,TRUE)</f>
        <v>Estancia Aleluya</v>
      </c>
      <c r="F30" s="12">
        <v>10350</v>
      </c>
      <c r="G30" s="49"/>
      <c r="H30" s="49"/>
      <c r="I30" s="12">
        <v>3.9</v>
      </c>
      <c r="J30" s="12"/>
      <c r="K30" s="12"/>
    </row>
    <row r="31" spans="2:11" x14ac:dyDescent="0.3">
      <c r="B31" s="13">
        <v>45685</v>
      </c>
      <c r="C31" s="14" t="s">
        <v>23</v>
      </c>
      <c r="D31" s="150">
        <v>11</v>
      </c>
      <c r="E31" s="14" t="str">
        <f>+VLOOKUP(D31,'Código Tambos'!$B$2:$C$6,2,TRUE)</f>
        <v>Don Enrique (Amalina)</v>
      </c>
      <c r="F31" s="14">
        <v>8560</v>
      </c>
      <c r="G31" s="44">
        <v>27962</v>
      </c>
      <c r="H31" s="44">
        <f>+G31-SUM(F31:F34)</f>
        <v>422</v>
      </c>
      <c r="I31" s="14">
        <v>1.8</v>
      </c>
      <c r="J31" s="14"/>
      <c r="K31" s="14"/>
    </row>
    <row r="32" spans="2:11" x14ac:dyDescent="0.3">
      <c r="B32" s="15">
        <v>45685</v>
      </c>
      <c r="C32" s="16" t="s">
        <v>23</v>
      </c>
      <c r="D32" s="151">
        <v>10</v>
      </c>
      <c r="E32" s="16" t="str">
        <f>+VLOOKUP(D32,'Código Tambos'!$B$2:$C$6,2,TRUE)</f>
        <v>Huaca Hue</v>
      </c>
      <c r="F32" s="16">
        <v>8710</v>
      </c>
      <c r="G32" s="45"/>
      <c r="H32" s="45"/>
      <c r="I32" s="16">
        <v>4</v>
      </c>
      <c r="J32" s="16"/>
      <c r="K32" s="16"/>
    </row>
    <row r="33" spans="2:11" x14ac:dyDescent="0.3">
      <c r="B33" s="15">
        <v>45685</v>
      </c>
      <c r="C33" s="16" t="s">
        <v>23</v>
      </c>
      <c r="D33" s="151">
        <v>12</v>
      </c>
      <c r="E33" s="16" t="str">
        <f>+VLOOKUP(D33,'Código Tambos'!$B$2:$C$6,2,TRUE)</f>
        <v>Santa Isabel</v>
      </c>
      <c r="F33" s="16">
        <v>2586</v>
      </c>
      <c r="G33" s="45"/>
      <c r="H33" s="45"/>
      <c r="I33" s="16">
        <v>4</v>
      </c>
      <c r="J33" s="16"/>
      <c r="K33" s="16"/>
    </row>
    <row r="34" spans="2:11" x14ac:dyDescent="0.3">
      <c r="B34" s="17">
        <v>45685</v>
      </c>
      <c r="C34" s="18" t="s">
        <v>23</v>
      </c>
      <c r="D34" s="152">
        <v>13</v>
      </c>
      <c r="E34" s="18" t="str">
        <f>+VLOOKUP(D34,'Código Tambos'!$B$2:$C$6,2,TRUE)</f>
        <v>Estancia Aleluya</v>
      </c>
      <c r="F34" s="18">
        <v>7684</v>
      </c>
      <c r="G34" s="46"/>
      <c r="H34" s="46"/>
      <c r="I34" s="18">
        <v>4</v>
      </c>
      <c r="J34" s="18"/>
      <c r="K34" s="18"/>
    </row>
    <row r="35" spans="2:11" x14ac:dyDescent="0.3">
      <c r="B35" s="7">
        <v>45686</v>
      </c>
      <c r="C35" s="8" t="s">
        <v>14</v>
      </c>
      <c r="D35" s="147">
        <v>11</v>
      </c>
      <c r="E35" s="8" t="str">
        <f>+VLOOKUP(D35,'Código Tambos'!$B$2:$C$6,2,TRUE)</f>
        <v>Don Enrique (Amalina)</v>
      </c>
      <c r="F35" s="8">
        <v>5119</v>
      </c>
      <c r="G35" s="47">
        <v>29124</v>
      </c>
      <c r="H35" s="47">
        <f>+G35-SUM(F35:F38)</f>
        <v>775</v>
      </c>
      <c r="I35" s="8">
        <v>2</v>
      </c>
      <c r="J35" s="8"/>
      <c r="K35" s="8"/>
    </row>
    <row r="36" spans="2:11" x14ac:dyDescent="0.3">
      <c r="B36" s="9">
        <v>45686</v>
      </c>
      <c r="C36" s="10" t="s">
        <v>14</v>
      </c>
      <c r="D36" s="148">
        <v>10</v>
      </c>
      <c r="E36" s="10" t="str">
        <f>+VLOOKUP(D36,'Código Tambos'!$B$2:$C$6,2,TRUE)</f>
        <v>Huaca Hue</v>
      </c>
      <c r="F36" s="10">
        <v>8599</v>
      </c>
      <c r="G36" s="48"/>
      <c r="H36" s="48"/>
      <c r="I36" s="10">
        <v>4</v>
      </c>
      <c r="J36" s="10"/>
      <c r="K36" s="10"/>
    </row>
    <row r="37" spans="2:11" x14ac:dyDescent="0.3">
      <c r="B37" s="9">
        <v>45686</v>
      </c>
      <c r="C37" s="10" t="s">
        <v>14</v>
      </c>
      <c r="D37" s="148">
        <v>12</v>
      </c>
      <c r="E37" s="10" t="str">
        <f>+VLOOKUP(D37,'Código Tambos'!$B$2:$C$6,2,TRUE)</f>
        <v>Santa Isabel</v>
      </c>
      <c r="F37" s="10">
        <v>2490</v>
      </c>
      <c r="G37" s="48"/>
      <c r="H37" s="48"/>
      <c r="I37" s="10">
        <v>3.6</v>
      </c>
      <c r="J37" s="10"/>
      <c r="K37" s="10"/>
    </row>
    <row r="38" spans="2:11" x14ac:dyDescent="0.3">
      <c r="B38" s="11">
        <v>45686</v>
      </c>
      <c r="C38" s="12" t="s">
        <v>14</v>
      </c>
      <c r="D38" s="149">
        <v>13</v>
      </c>
      <c r="E38" s="12" t="str">
        <f>+VLOOKUP(D38,'Código Tambos'!$B$2:$C$6,2,TRUE)</f>
        <v>Estancia Aleluya</v>
      </c>
      <c r="F38" s="12">
        <v>12141</v>
      </c>
      <c r="G38" s="49"/>
      <c r="H38" s="49"/>
      <c r="I38" s="12">
        <v>5</v>
      </c>
      <c r="J38" s="12"/>
      <c r="K38" s="12"/>
    </row>
    <row r="39" spans="2:11" x14ac:dyDescent="0.3">
      <c r="B39" s="22">
        <v>45687</v>
      </c>
      <c r="C39" s="23" t="s">
        <v>25</v>
      </c>
      <c r="D39" s="129">
        <v>12</v>
      </c>
      <c r="E39" s="23" t="str">
        <f>+IF(D39&gt;0,VLOOKUP(D39,'Código Tambos'!$B$2:$C$6,2,TRUE),0)</f>
        <v>Santa Isabel</v>
      </c>
      <c r="F39" s="23">
        <v>2586</v>
      </c>
      <c r="G39" s="23">
        <v>2906</v>
      </c>
      <c r="H39" s="23">
        <f>+G39-F39</f>
        <v>320</v>
      </c>
      <c r="I39" s="23">
        <v>3.9</v>
      </c>
      <c r="J39" s="24"/>
      <c r="K39" s="24"/>
    </row>
    <row r="40" spans="2:11" x14ac:dyDescent="0.3">
      <c r="B40" s="21">
        <v>45689</v>
      </c>
      <c r="C40" s="19" t="s">
        <v>27</v>
      </c>
      <c r="D40" s="153">
        <v>11</v>
      </c>
      <c r="E40" s="19" t="str">
        <f>+IF(D40&gt;0,VLOOKUP(D40,'Código Tambos'!$B$2:$C$6,2,TRUE),0)</f>
        <v>Don Enrique (Amalina)</v>
      </c>
      <c r="F40" s="19">
        <v>6142</v>
      </c>
      <c r="G40" s="40">
        <v>15849</v>
      </c>
      <c r="H40" s="40">
        <f>+G40-SUM(F40:F41)</f>
        <v>380</v>
      </c>
      <c r="I40" s="19">
        <v>3.9</v>
      </c>
      <c r="J40" s="19"/>
      <c r="K40" s="19"/>
    </row>
    <row r="41" spans="2:11" x14ac:dyDescent="0.3">
      <c r="B41" s="25">
        <v>45689</v>
      </c>
      <c r="C41" s="26" t="s">
        <v>27</v>
      </c>
      <c r="D41" s="154">
        <v>10</v>
      </c>
      <c r="E41" s="26" t="str">
        <f>+IF(D41&gt;0,VLOOKUP(D41,'Código Tambos'!$B$2:$C$6,2,TRUE),0)</f>
        <v>Huaca Hue</v>
      </c>
      <c r="F41" s="26">
        <v>9327</v>
      </c>
      <c r="G41" s="41"/>
      <c r="H41" s="41"/>
      <c r="I41" s="26">
        <v>4.3</v>
      </c>
      <c r="J41" s="26"/>
      <c r="K41" s="26"/>
    </row>
    <row r="42" spans="2:11" x14ac:dyDescent="0.3">
      <c r="B42" s="27">
        <v>45690</v>
      </c>
      <c r="C42" s="28" t="s">
        <v>28</v>
      </c>
      <c r="D42" s="155">
        <v>11</v>
      </c>
      <c r="E42" s="28" t="str">
        <f>+IF(D42&gt;0,VLOOKUP(D42,'Código Tambos'!$B$2:$C$6,2,TRUE),0)</f>
        <v>Don Enrique (Amalina)</v>
      </c>
      <c r="F42" s="28">
        <v>8995</v>
      </c>
      <c r="G42" s="42">
        <v>18316</v>
      </c>
      <c r="H42" s="42">
        <f>+G42-SUM(F42:F43)</f>
        <v>625</v>
      </c>
      <c r="I42" s="28">
        <v>3.5</v>
      </c>
      <c r="J42" s="28"/>
      <c r="K42" s="28"/>
    </row>
    <row r="43" spans="2:11" x14ac:dyDescent="0.3">
      <c r="B43" s="29">
        <v>45690</v>
      </c>
      <c r="C43" s="30" t="s">
        <v>28</v>
      </c>
      <c r="D43" s="156">
        <v>10</v>
      </c>
      <c r="E43" s="30" t="str">
        <f>+IF(D43&gt;0,VLOOKUP(D43,'Código Tambos'!$B$2:$C$6,2,TRUE),0)</f>
        <v>Huaca Hue</v>
      </c>
      <c r="F43" s="30">
        <v>8696</v>
      </c>
      <c r="G43" s="43"/>
      <c r="H43" s="43"/>
      <c r="I43" s="30">
        <v>4</v>
      </c>
      <c r="J43" s="30"/>
      <c r="K43" s="30"/>
    </row>
    <row r="44" spans="2:11" x14ac:dyDescent="0.3">
      <c r="B44" s="21">
        <v>45692</v>
      </c>
      <c r="C44" s="19" t="s">
        <v>29</v>
      </c>
      <c r="D44" s="157">
        <v>11</v>
      </c>
      <c r="E44" s="32" t="str">
        <f>+IF(D44&gt;0,VLOOKUP(D44,'Código Tambos'!$B$2:$C$6,2,TRUE),0)</f>
        <v>Don Enrique (Amalina)</v>
      </c>
      <c r="F44" s="32">
        <v>6379</v>
      </c>
      <c r="G44" s="50">
        <v>15288</v>
      </c>
      <c r="H44" s="50">
        <f>+G44-SUM(F44:F45)</f>
        <v>445</v>
      </c>
      <c r="I44" s="32">
        <v>3.9</v>
      </c>
      <c r="J44" s="32"/>
      <c r="K44" s="32"/>
    </row>
    <row r="45" spans="2:11" x14ac:dyDescent="0.3">
      <c r="B45" s="25">
        <v>45692</v>
      </c>
      <c r="C45" s="26" t="s">
        <v>29</v>
      </c>
      <c r="D45" s="158">
        <v>10</v>
      </c>
      <c r="E45" s="33" t="str">
        <f>+IF(D45&gt;0,VLOOKUP(D45,'Código Tambos'!$B$2:$C$6,2,TRUE),0)</f>
        <v>Huaca Hue</v>
      </c>
      <c r="F45" s="33">
        <v>8464</v>
      </c>
      <c r="G45" s="51"/>
      <c r="H45" s="51"/>
      <c r="I45" s="33">
        <v>3.9</v>
      </c>
      <c r="J45" s="33"/>
      <c r="K45" s="33"/>
    </row>
    <row r="46" spans="2:11" x14ac:dyDescent="0.3">
      <c r="B46" s="27">
        <v>45693</v>
      </c>
      <c r="C46" s="28" t="s">
        <v>25</v>
      </c>
      <c r="D46" s="155">
        <v>11</v>
      </c>
      <c r="E46" s="28" t="str">
        <f>+IF(D46&gt;0,VLOOKUP(D46,'Código Tambos'!$B$2:$C$6,2,TRUE),0)</f>
        <v>Don Enrique (Amalina)</v>
      </c>
      <c r="F46" s="28">
        <v>6545</v>
      </c>
      <c r="G46" s="42">
        <v>15562</v>
      </c>
      <c r="H46" s="42">
        <f>+G46-SUM(F46:F47)</f>
        <v>369</v>
      </c>
      <c r="I46" s="28">
        <v>3.9</v>
      </c>
      <c r="J46" s="28"/>
      <c r="K46" s="28"/>
    </row>
    <row r="47" spans="2:11" x14ac:dyDescent="0.3">
      <c r="B47" s="29">
        <v>45693</v>
      </c>
      <c r="C47" s="30" t="s">
        <v>25</v>
      </c>
      <c r="D47" s="156">
        <v>10</v>
      </c>
      <c r="E47" s="30" t="str">
        <f>+IF(D47&gt;0,VLOOKUP(D47,'Código Tambos'!$B$2:$C$6,2,TRUE),0)</f>
        <v>Huaca Hue</v>
      </c>
      <c r="F47" s="30">
        <v>8648</v>
      </c>
      <c r="G47" s="43"/>
      <c r="H47" s="43"/>
      <c r="I47" s="30">
        <v>3.9</v>
      </c>
      <c r="J47" s="30"/>
      <c r="K47" s="30"/>
    </row>
    <row r="48" spans="2:11" x14ac:dyDescent="0.3">
      <c r="B48" s="31">
        <v>45694</v>
      </c>
      <c r="C48" s="20" t="s">
        <v>28</v>
      </c>
      <c r="D48" s="153">
        <v>11</v>
      </c>
      <c r="E48" s="20" t="str">
        <f>+IF(D48&gt;0,VLOOKUP(D48,'Código Tambos'!$B$2:$C$6,2,TRUE),0)</f>
        <v>Don Enrique (Amalina)</v>
      </c>
      <c r="F48" s="19">
        <v>6043</v>
      </c>
      <c r="G48" s="40">
        <v>15432</v>
      </c>
      <c r="H48" s="40">
        <f>+G48-SUM(F48:F49)</f>
        <v>775</v>
      </c>
      <c r="I48" s="19">
        <v>4</v>
      </c>
      <c r="J48" s="19"/>
      <c r="K48" s="19"/>
    </row>
    <row r="49" spans="2:11" x14ac:dyDescent="0.3">
      <c r="B49" s="25">
        <v>45694</v>
      </c>
      <c r="C49" s="20" t="s">
        <v>28</v>
      </c>
      <c r="D49" s="154">
        <v>10</v>
      </c>
      <c r="E49" s="26" t="str">
        <f>+IF(D49&gt;0,VLOOKUP(D49,'Código Tambos'!$B$2:$C$6,2,TRUE),0)</f>
        <v>Huaca Hue</v>
      </c>
      <c r="F49" s="26">
        <v>8614</v>
      </c>
      <c r="G49" s="41"/>
      <c r="H49" s="41"/>
      <c r="I49" s="26">
        <v>4.0999999999999996</v>
      </c>
      <c r="J49" s="26"/>
      <c r="K49" s="26"/>
    </row>
    <row r="50" spans="2:11" x14ac:dyDescent="0.3">
      <c r="B50" s="13">
        <v>45697</v>
      </c>
      <c r="C50" s="34" t="s">
        <v>34</v>
      </c>
      <c r="D50" s="150">
        <v>12</v>
      </c>
      <c r="E50" s="28" t="str">
        <f>+IF(D50&gt;0,VLOOKUP(D50,'Código Tambos'!$B$2:$C$6,2,TRUE),0)</f>
        <v>Santa Isabel</v>
      </c>
      <c r="F50" s="14">
        <v>6490</v>
      </c>
      <c r="G50" s="44">
        <v>24560</v>
      </c>
      <c r="H50" s="44">
        <f>+G50-SUM(F50:F52)</f>
        <v>-377</v>
      </c>
      <c r="I50" s="14">
        <v>1.8</v>
      </c>
      <c r="J50" s="14"/>
      <c r="K50" s="14"/>
    </row>
    <row r="51" spans="2:11" x14ac:dyDescent="0.3">
      <c r="B51" s="15">
        <v>45697</v>
      </c>
      <c r="C51" s="35" t="s">
        <v>34</v>
      </c>
      <c r="D51" s="151">
        <v>10</v>
      </c>
      <c r="E51" s="37" t="str">
        <f>+IF(D51&gt;0,VLOOKUP(D51,'Código Tambos'!$B$2:$C$6,2,TRUE),0)</f>
        <v>Huaca Hue</v>
      </c>
      <c r="F51" s="16">
        <v>8473</v>
      </c>
      <c r="G51" s="45"/>
      <c r="H51" s="45"/>
      <c r="I51" s="16">
        <v>4.0999999999999996</v>
      </c>
      <c r="J51" s="16"/>
      <c r="K51" s="16"/>
    </row>
    <row r="52" spans="2:11" x14ac:dyDescent="0.3">
      <c r="B52" s="17">
        <v>45697</v>
      </c>
      <c r="C52" s="36" t="s">
        <v>34</v>
      </c>
      <c r="D52" s="152">
        <v>13</v>
      </c>
      <c r="E52" s="30" t="str">
        <f>+IF(D52&gt;0,VLOOKUP(D52,'Código Tambos'!$B$2:$C$6,2,TRUE),0)</f>
        <v>Estancia Aleluya</v>
      </c>
      <c r="F52" s="18">
        <v>9974</v>
      </c>
      <c r="G52" s="46"/>
      <c r="H52" s="46"/>
      <c r="I52" s="18">
        <v>4.9000000000000004</v>
      </c>
      <c r="J52" s="18"/>
      <c r="K52" s="18"/>
    </row>
    <row r="53" spans="2:11" x14ac:dyDescent="0.3">
      <c r="B53" s="7">
        <v>45698</v>
      </c>
      <c r="C53" s="19" t="s">
        <v>31</v>
      </c>
      <c r="D53" s="147">
        <v>11</v>
      </c>
      <c r="E53" s="8" t="str">
        <f>+IF(D53&gt;0,VLOOKUP(D53,'Código Tambos'!$B$2:$C$6,2,TRUE),0)</f>
        <v>Don Enrique (Amalina)</v>
      </c>
      <c r="F53" s="8">
        <v>8960</v>
      </c>
      <c r="G53" s="47">
        <v>26680</v>
      </c>
      <c r="H53" s="47">
        <f>+G53-SUM(F53:F55)</f>
        <v>-380</v>
      </c>
      <c r="I53" s="8">
        <v>3</v>
      </c>
      <c r="J53" s="8"/>
      <c r="K53" s="8"/>
    </row>
    <row r="54" spans="2:11" x14ac:dyDescent="0.3">
      <c r="B54" s="9">
        <v>45698</v>
      </c>
      <c r="C54" s="20" t="s">
        <v>31</v>
      </c>
      <c r="D54" s="148">
        <v>10</v>
      </c>
      <c r="E54" s="10" t="str">
        <f>+IF(D54&gt;0,VLOOKUP(D54,'Código Tambos'!$B$2:$C$6,2,TRUE),0)</f>
        <v>Huaca Hue</v>
      </c>
      <c r="F54" s="10">
        <v>8519</v>
      </c>
      <c r="G54" s="48"/>
      <c r="H54" s="48"/>
      <c r="I54" s="10">
        <v>4.0999999999999996</v>
      </c>
      <c r="J54" s="10"/>
      <c r="K54" s="10"/>
    </row>
    <row r="55" spans="2:11" x14ac:dyDescent="0.3">
      <c r="B55" s="11">
        <v>45698</v>
      </c>
      <c r="C55" s="26" t="s">
        <v>31</v>
      </c>
      <c r="D55" s="149">
        <v>13</v>
      </c>
      <c r="E55" s="12" t="str">
        <f>+IF(D55&gt;0,VLOOKUP(D55,'Código Tambos'!$B$2:$C$6,2,TRUE),0)</f>
        <v>Estancia Aleluya</v>
      </c>
      <c r="F55" s="12">
        <v>9581</v>
      </c>
      <c r="G55" s="49"/>
      <c r="H55" s="49"/>
      <c r="I55" s="12">
        <v>5.5</v>
      </c>
      <c r="J55" s="12"/>
      <c r="K55" s="12"/>
    </row>
    <row r="56" spans="2:11" x14ac:dyDescent="0.3">
      <c r="B56" s="13">
        <v>45699</v>
      </c>
      <c r="C56" s="34" t="s">
        <v>33</v>
      </c>
      <c r="D56" s="150">
        <v>11</v>
      </c>
      <c r="E56" s="14" t="str">
        <f>+IF(D56&gt;0,VLOOKUP(D56,'Código Tambos'!$B$2:$C$6,2,TRUE),0)</f>
        <v>Don Enrique (Amalina)</v>
      </c>
      <c r="F56" s="14">
        <v>6672</v>
      </c>
      <c r="G56" s="44">
        <v>24368</v>
      </c>
      <c r="H56" s="44">
        <f>+G56-SUM(F56:F58)</f>
        <v>-401</v>
      </c>
      <c r="I56" s="14">
        <v>3</v>
      </c>
      <c r="J56" s="14"/>
      <c r="K56" s="14"/>
    </row>
    <row r="57" spans="2:11" x14ac:dyDescent="0.3">
      <c r="B57" s="15">
        <v>45699</v>
      </c>
      <c r="C57" s="35" t="s">
        <v>33</v>
      </c>
      <c r="D57" s="151">
        <v>10</v>
      </c>
      <c r="E57" s="16" t="str">
        <f>+IF(D57&gt;0,VLOOKUP(D57,'Código Tambos'!$B$2:$C$6,2,TRUE),0)</f>
        <v>Huaca Hue</v>
      </c>
      <c r="F57" s="16">
        <v>8409</v>
      </c>
      <c r="G57" s="45"/>
      <c r="H57" s="45"/>
      <c r="I57" s="16">
        <v>4</v>
      </c>
      <c r="J57" s="16"/>
      <c r="K57" s="16"/>
    </row>
    <row r="58" spans="2:11" x14ac:dyDescent="0.3">
      <c r="B58" s="17">
        <v>45699</v>
      </c>
      <c r="C58" s="36" t="s">
        <v>33</v>
      </c>
      <c r="D58" s="152">
        <v>13</v>
      </c>
      <c r="E58" s="18" t="str">
        <f>+IF(D58&gt;0,VLOOKUP(D58,'Código Tambos'!$B$2:$C$6,2,TRUE),0)</f>
        <v>Estancia Aleluya</v>
      </c>
      <c r="F58" s="18">
        <v>9688</v>
      </c>
      <c r="G58" s="46"/>
      <c r="H58" s="46"/>
      <c r="I58" s="18">
        <v>5</v>
      </c>
      <c r="J58" s="18"/>
      <c r="K58" s="18"/>
    </row>
    <row r="59" spans="2:11" x14ac:dyDescent="0.3">
      <c r="B59" s="7">
        <v>45700</v>
      </c>
      <c r="C59" s="19" t="s">
        <v>32</v>
      </c>
      <c r="D59" s="147">
        <v>11</v>
      </c>
      <c r="E59" s="8" t="str">
        <f>+IF(D59&gt;0,VLOOKUP(D59,'Código Tambos'!$B$2:$C$6,2,TRUE),0)</f>
        <v>Don Enrique (Amalina)</v>
      </c>
      <c r="F59" s="8">
        <v>6591</v>
      </c>
      <c r="G59" s="47">
        <v>23977</v>
      </c>
      <c r="H59" s="47">
        <f>+G59-SUM(F59:F61)</f>
        <v>-249</v>
      </c>
      <c r="I59" s="8">
        <v>2</v>
      </c>
      <c r="J59" s="8"/>
      <c r="K59" s="8"/>
    </row>
    <row r="60" spans="2:11" x14ac:dyDescent="0.3">
      <c r="B60" s="9">
        <v>45700</v>
      </c>
      <c r="C60" s="20" t="s">
        <v>32</v>
      </c>
      <c r="D60" s="148">
        <v>10</v>
      </c>
      <c r="E60" s="10" t="str">
        <f>+IF(D60&gt;0,VLOOKUP(D60,'Código Tambos'!$B$2:$C$6,2,TRUE),0)</f>
        <v>Huaca Hue</v>
      </c>
      <c r="F60" s="10">
        <v>8083</v>
      </c>
      <c r="G60" s="48"/>
      <c r="H60" s="48"/>
      <c r="I60" s="10">
        <v>4.2</v>
      </c>
      <c r="J60" s="10"/>
      <c r="K60" s="10"/>
    </row>
    <row r="61" spans="2:11" x14ac:dyDescent="0.3">
      <c r="B61" s="11">
        <v>45700</v>
      </c>
      <c r="C61" s="26" t="s">
        <v>32</v>
      </c>
      <c r="D61" s="149">
        <v>13</v>
      </c>
      <c r="E61" s="12" t="str">
        <f>+IF(D61&gt;0,VLOOKUP(D61,'Código Tambos'!$B$2:$C$6,2,TRUE),0)</f>
        <v>Estancia Aleluya</v>
      </c>
      <c r="F61" s="12">
        <v>9552</v>
      </c>
      <c r="G61" s="49"/>
      <c r="H61" s="49"/>
      <c r="I61" s="12">
        <v>3</v>
      </c>
      <c r="J61" s="12"/>
      <c r="K61" s="12"/>
    </row>
    <row r="62" spans="2:11" x14ac:dyDescent="0.3">
      <c r="B62" s="13">
        <v>45701</v>
      </c>
      <c r="C62" s="34" t="s">
        <v>30</v>
      </c>
      <c r="D62" s="150">
        <v>11</v>
      </c>
      <c r="E62" s="14" t="str">
        <f>+IF(D62&gt;0,VLOOKUP(D62,'Código Tambos'!$B$2:$C$6,2,TRUE),0)</f>
        <v>Don Enrique (Amalina)</v>
      </c>
      <c r="F62" s="14">
        <v>6300</v>
      </c>
      <c r="G62" s="44">
        <v>24484</v>
      </c>
      <c r="H62" s="44">
        <f>+G62-SUM(F62:F64)</f>
        <v>-135</v>
      </c>
      <c r="I62" s="14">
        <v>2</v>
      </c>
      <c r="J62" s="14"/>
      <c r="K62" s="14"/>
    </row>
    <row r="63" spans="2:11" x14ac:dyDescent="0.3">
      <c r="B63" s="15">
        <v>45701</v>
      </c>
      <c r="C63" s="35" t="s">
        <v>30</v>
      </c>
      <c r="D63" s="151">
        <v>10</v>
      </c>
      <c r="E63" s="16" t="str">
        <f>+IF(D63&gt;0,VLOOKUP(D63,'Código Tambos'!$B$2:$C$6,2,TRUE),0)</f>
        <v>Huaca Hue</v>
      </c>
      <c r="F63" s="16">
        <v>8890</v>
      </c>
      <c r="G63" s="45"/>
      <c r="H63" s="45"/>
      <c r="I63" s="16">
        <v>4</v>
      </c>
      <c r="J63" s="16"/>
      <c r="K63" s="16"/>
    </row>
    <row r="64" spans="2:11" x14ac:dyDescent="0.3">
      <c r="B64" s="17">
        <v>45701</v>
      </c>
      <c r="C64" s="36" t="s">
        <v>30</v>
      </c>
      <c r="D64" s="152">
        <v>13</v>
      </c>
      <c r="E64" s="18" t="str">
        <f>+IF(D64&gt;0,VLOOKUP(D64,'Código Tambos'!$B$2:$C$6,2,TRUE),0)</f>
        <v>Estancia Aleluya</v>
      </c>
      <c r="F64" s="18">
        <v>9429</v>
      </c>
      <c r="G64" s="46"/>
      <c r="H64" s="46"/>
      <c r="I64" s="18">
        <v>3</v>
      </c>
      <c r="J64" s="18"/>
      <c r="K64" s="18"/>
    </row>
    <row r="65" spans="2:16" x14ac:dyDescent="0.3">
      <c r="B65" s="7">
        <v>45704</v>
      </c>
      <c r="C65" s="19" t="s">
        <v>35</v>
      </c>
      <c r="D65" s="147">
        <v>11</v>
      </c>
      <c r="E65" s="8" t="str">
        <f>+IF(D65&gt;0,VLOOKUP(D65,'Código Tambos'!$B$2:$C$6,2,TRUE),0)</f>
        <v>Don Enrique (Amalina)</v>
      </c>
      <c r="F65" s="8">
        <v>6533</v>
      </c>
      <c r="G65" s="47">
        <v>24578</v>
      </c>
      <c r="H65" s="47">
        <f>+G65-SUM(F65:F67)</f>
        <v>-274</v>
      </c>
      <c r="I65" s="8">
        <v>1.3</v>
      </c>
      <c r="J65" s="8"/>
      <c r="K65" s="8"/>
    </row>
    <row r="66" spans="2:16" x14ac:dyDescent="0.3">
      <c r="B66" s="9">
        <v>45704</v>
      </c>
      <c r="C66" s="20" t="s">
        <v>35</v>
      </c>
      <c r="D66" s="148">
        <v>10</v>
      </c>
      <c r="E66" s="10" t="str">
        <f>+IF(D66&gt;0,VLOOKUP(D66,'Código Tambos'!$B$2:$C$6,2,TRUE),0)</f>
        <v>Huaca Hue</v>
      </c>
      <c r="F66" s="10">
        <v>9063</v>
      </c>
      <c r="G66" s="48"/>
      <c r="H66" s="48"/>
      <c r="I66" s="10">
        <v>4.0999999999999996</v>
      </c>
      <c r="J66" s="10"/>
      <c r="K66" s="10"/>
    </row>
    <row r="67" spans="2:16" x14ac:dyDescent="0.3">
      <c r="B67" s="11">
        <v>45704</v>
      </c>
      <c r="C67" s="26" t="s">
        <v>35</v>
      </c>
      <c r="D67" s="149">
        <v>13</v>
      </c>
      <c r="E67" s="12" t="str">
        <f>+IF(D67&gt;0,VLOOKUP(D67,'Código Tambos'!$B$2:$C$6,2,TRUE),0)</f>
        <v>Estancia Aleluya</v>
      </c>
      <c r="F67" s="12">
        <v>9256</v>
      </c>
      <c r="G67" s="49"/>
      <c r="H67" s="49"/>
      <c r="I67" s="12">
        <v>4.3</v>
      </c>
      <c r="J67" s="12"/>
      <c r="K67" s="12"/>
    </row>
    <row r="68" spans="2:16" x14ac:dyDescent="0.3">
      <c r="B68" s="13">
        <v>45705</v>
      </c>
      <c r="C68" s="34" t="s">
        <v>34</v>
      </c>
      <c r="D68" s="150">
        <v>11</v>
      </c>
      <c r="E68" s="14" t="str">
        <f>+IF(D68&gt;0,VLOOKUP(D68,'Código Tambos'!$B$2:$C$6,2,TRUE),0)</f>
        <v>Don Enrique (Amalina)</v>
      </c>
      <c r="F68" s="14">
        <v>9473</v>
      </c>
      <c r="G68" s="44">
        <v>28007</v>
      </c>
      <c r="H68" s="44">
        <f>+G68-SUM(F68:F70)</f>
        <v>0</v>
      </c>
      <c r="I68" s="14">
        <v>2.6</v>
      </c>
      <c r="J68" s="14"/>
      <c r="K68" s="14"/>
    </row>
    <row r="69" spans="2:16" x14ac:dyDescent="0.3">
      <c r="B69" s="15">
        <v>45705</v>
      </c>
      <c r="C69" s="35" t="s">
        <v>34</v>
      </c>
      <c r="D69" s="151">
        <v>10</v>
      </c>
      <c r="E69" s="16" t="str">
        <f>+IF(D69&gt;0,VLOOKUP(D69,'Código Tambos'!$B$2:$C$6,2,TRUE),0)</f>
        <v>Huaca Hue</v>
      </c>
      <c r="F69" s="16">
        <v>9273</v>
      </c>
      <c r="G69" s="45"/>
      <c r="H69" s="45"/>
      <c r="I69" s="16">
        <v>4.0999999999999996</v>
      </c>
      <c r="J69" s="16"/>
      <c r="K69" s="16"/>
    </row>
    <row r="70" spans="2:16" x14ac:dyDescent="0.3">
      <c r="B70" s="17">
        <v>45705</v>
      </c>
      <c r="C70" s="36" t="s">
        <v>34</v>
      </c>
      <c r="D70" s="152">
        <v>13</v>
      </c>
      <c r="E70" s="18" t="str">
        <f>+IF(D70&gt;0,VLOOKUP(D70,'Código Tambos'!$B$2:$C$6,2,TRUE),0)</f>
        <v>Estancia Aleluya</v>
      </c>
      <c r="F70" s="18">
        <v>9261</v>
      </c>
      <c r="G70" s="46"/>
      <c r="H70" s="46"/>
      <c r="I70" s="18">
        <v>4.3</v>
      </c>
      <c r="J70" s="18"/>
      <c r="K70" s="18"/>
    </row>
    <row r="71" spans="2:16" x14ac:dyDescent="0.3">
      <c r="B71" s="7">
        <v>45706</v>
      </c>
      <c r="C71" s="19" t="s">
        <v>35</v>
      </c>
      <c r="D71" s="147">
        <v>11</v>
      </c>
      <c r="E71" s="8" t="str">
        <f>+IF(D71&gt;0,VLOOKUP(D71,'Código Tambos'!$B$2:$C$6,2,TRUE),0)</f>
        <v>Don Enrique (Amalina)</v>
      </c>
      <c r="F71" s="8">
        <v>6489</v>
      </c>
      <c r="G71" s="47">
        <v>23044</v>
      </c>
      <c r="H71" s="47">
        <f>+G71-SUM(F71:F73)</f>
        <v>-1897</v>
      </c>
      <c r="I71" s="8">
        <v>1.5</v>
      </c>
      <c r="J71" s="8"/>
      <c r="K71" s="8"/>
    </row>
    <row r="72" spans="2:16" x14ac:dyDescent="0.3">
      <c r="B72" s="9">
        <v>45706</v>
      </c>
      <c r="C72" s="20" t="s">
        <v>35</v>
      </c>
      <c r="D72" s="148">
        <v>10</v>
      </c>
      <c r="E72" s="10" t="str">
        <f>+IF(D72&gt;0,VLOOKUP(D72,'Código Tambos'!$B$2:$C$6,2,TRUE),0)</f>
        <v>Huaca Hue</v>
      </c>
      <c r="F72" s="10">
        <v>8873</v>
      </c>
      <c r="G72" s="48"/>
      <c r="H72" s="48"/>
      <c r="I72" s="10">
        <v>4</v>
      </c>
      <c r="J72" s="10"/>
      <c r="K72" s="10"/>
      <c r="P72" s="52"/>
    </row>
    <row r="73" spans="2:16" x14ac:dyDescent="0.3">
      <c r="B73" s="11">
        <v>45706</v>
      </c>
      <c r="C73" s="26" t="s">
        <v>35</v>
      </c>
      <c r="D73" s="149">
        <v>13</v>
      </c>
      <c r="E73" s="12" t="str">
        <f>+IF(D73&gt;0,VLOOKUP(D73,'Código Tambos'!$B$2:$C$6,2,TRUE),0)</f>
        <v>Estancia Aleluya</v>
      </c>
      <c r="F73" s="12">
        <v>9579</v>
      </c>
      <c r="G73" s="49"/>
      <c r="H73" s="49"/>
      <c r="I73" s="12"/>
      <c r="J73" s="12"/>
      <c r="K73" s="12"/>
      <c r="P73" s="52"/>
    </row>
    <row r="74" spans="2:16" x14ac:dyDescent="0.3">
      <c r="B74" s="13">
        <v>45707</v>
      </c>
      <c r="C74" s="34" t="s">
        <v>36</v>
      </c>
      <c r="D74" s="150">
        <v>11</v>
      </c>
      <c r="E74" s="14" t="str">
        <f>+IF(D74&gt;0,VLOOKUP(D74,'Código Tambos'!$B$2:$C$6,2,TRUE),0)</f>
        <v>Don Enrique (Amalina)</v>
      </c>
      <c r="F74" s="14">
        <v>6569</v>
      </c>
      <c r="G74" s="44">
        <v>24982</v>
      </c>
      <c r="H74" s="44">
        <f>+G74-SUM(F74:F76)</f>
        <v>-360</v>
      </c>
      <c r="I74" s="14">
        <v>2</v>
      </c>
      <c r="J74" s="14"/>
      <c r="K74" s="14"/>
      <c r="P74" s="52"/>
    </row>
    <row r="75" spans="2:16" x14ac:dyDescent="0.3">
      <c r="B75" s="15">
        <v>45707</v>
      </c>
      <c r="C75" s="35" t="s">
        <v>36</v>
      </c>
      <c r="D75" s="151">
        <v>10</v>
      </c>
      <c r="E75" s="16" t="str">
        <f>+IF(D75&gt;0,VLOOKUP(D75,'Código Tambos'!$B$2:$C$6,2,TRUE),0)</f>
        <v>Huaca Hue</v>
      </c>
      <c r="F75" s="16">
        <v>9189</v>
      </c>
      <c r="G75" s="45"/>
      <c r="H75" s="45"/>
      <c r="I75" s="16">
        <v>4</v>
      </c>
      <c r="J75" s="16"/>
      <c r="K75" s="16"/>
      <c r="P75" s="52"/>
    </row>
    <row r="76" spans="2:16" x14ac:dyDescent="0.3">
      <c r="B76" s="17">
        <v>45707</v>
      </c>
      <c r="C76" s="36" t="s">
        <v>36</v>
      </c>
      <c r="D76" s="152">
        <v>13</v>
      </c>
      <c r="E76" s="18" t="str">
        <f>+IF(D76&gt;0,VLOOKUP(D76,'Código Tambos'!$B$2:$C$6,2,TRUE),0)</f>
        <v>Estancia Aleluya</v>
      </c>
      <c r="F76" s="18">
        <v>9584</v>
      </c>
      <c r="G76" s="46"/>
      <c r="H76" s="46"/>
      <c r="I76" s="18">
        <v>4.3</v>
      </c>
      <c r="J76" s="18"/>
      <c r="K76" s="18"/>
    </row>
    <row r="77" spans="2:16" x14ac:dyDescent="0.3">
      <c r="B77" s="7">
        <v>45712</v>
      </c>
      <c r="C77" s="19" t="s">
        <v>37</v>
      </c>
      <c r="D77" s="147">
        <v>11</v>
      </c>
      <c r="E77" s="8" t="str">
        <f>+IF(D77&gt;0,VLOOKUP(D77,'Código Tambos'!$B$2:$C$6,2,TRUE),0)</f>
        <v>Don Enrique (Amalina)</v>
      </c>
      <c r="F77" s="8">
        <v>9013</v>
      </c>
      <c r="G77" s="47">
        <v>23058</v>
      </c>
      <c r="H77" s="47">
        <f>+G77-SUM(F77:F79)</f>
        <v>-456</v>
      </c>
      <c r="I77" s="8">
        <v>3.9</v>
      </c>
      <c r="J77" s="8"/>
      <c r="K77" s="8"/>
    </row>
    <row r="78" spans="2:16" x14ac:dyDescent="0.3">
      <c r="B78" s="9">
        <v>45712</v>
      </c>
      <c r="C78" s="20" t="s">
        <v>37</v>
      </c>
      <c r="D78" s="148">
        <v>10</v>
      </c>
      <c r="E78" s="10" t="str">
        <f>+IF(D78&gt;0,VLOOKUP(D78,'Código Tambos'!$B$2:$C$6,2,TRUE),0)</f>
        <v>Huaca Hue</v>
      </c>
      <c r="F78" s="10">
        <v>4503</v>
      </c>
      <c r="G78" s="48"/>
      <c r="H78" s="48"/>
      <c r="I78" s="10">
        <v>3.9</v>
      </c>
      <c r="J78" s="10"/>
      <c r="K78" s="10"/>
    </row>
    <row r="79" spans="2:16" x14ac:dyDescent="0.3">
      <c r="B79" s="11">
        <v>45712</v>
      </c>
      <c r="C79" s="26" t="s">
        <v>37</v>
      </c>
      <c r="D79" s="149">
        <v>13</v>
      </c>
      <c r="E79" s="12" t="str">
        <f>+IF(D79&gt;0,VLOOKUP(D79,'Código Tambos'!$B$2:$C$6,2,TRUE),0)</f>
        <v>Estancia Aleluya</v>
      </c>
      <c r="F79" s="12">
        <v>9998</v>
      </c>
      <c r="G79" s="49"/>
      <c r="H79" s="49"/>
      <c r="I79" s="12">
        <v>4.5</v>
      </c>
      <c r="J79" s="12"/>
      <c r="K79" s="12"/>
    </row>
    <row r="80" spans="2:16" x14ac:dyDescent="0.3">
      <c r="B80" s="13">
        <v>45713</v>
      </c>
      <c r="C80" s="34" t="s">
        <v>38</v>
      </c>
      <c r="D80" s="150">
        <v>11</v>
      </c>
      <c r="E80" s="14" t="str">
        <f>+IF(D80&gt;0,VLOOKUP(D80,'Código Tambos'!$B$2:$C$6,2,TRUE),0)</f>
        <v>Don Enrique (Amalina)</v>
      </c>
      <c r="F80" s="14">
        <v>8999</v>
      </c>
      <c r="G80" s="44">
        <v>27704</v>
      </c>
      <c r="H80" s="44">
        <f>+G80-SUM(F80:F82)</f>
        <v>-391</v>
      </c>
      <c r="I80" s="14"/>
      <c r="J80" s="14"/>
      <c r="K80" s="14"/>
    </row>
    <row r="81" spans="2:11" x14ac:dyDescent="0.3">
      <c r="B81" s="15">
        <v>45713</v>
      </c>
      <c r="C81" s="35" t="s">
        <v>38</v>
      </c>
      <c r="D81" s="151">
        <v>10</v>
      </c>
      <c r="E81" s="16" t="str">
        <f>+IF(D81&gt;0,VLOOKUP(D81,'Código Tambos'!$B$2:$C$6,2,TRUE),0)</f>
        <v>Huaca Hue</v>
      </c>
      <c r="F81" s="16">
        <v>9901</v>
      </c>
      <c r="G81" s="45"/>
      <c r="H81" s="45"/>
      <c r="I81" s="16">
        <v>4.4000000000000004</v>
      </c>
      <c r="J81" s="16"/>
      <c r="K81" s="16"/>
    </row>
    <row r="82" spans="2:11" x14ac:dyDescent="0.3">
      <c r="B82" s="17">
        <v>45713</v>
      </c>
      <c r="C82" s="36" t="s">
        <v>39</v>
      </c>
      <c r="D82" s="152">
        <v>13</v>
      </c>
      <c r="E82" s="18" t="str">
        <f>+IF(D82&gt;0,VLOOKUP(D82,'Código Tambos'!$B$2:$C$6,2,TRUE),0)</f>
        <v>Estancia Aleluya</v>
      </c>
      <c r="F82" s="18">
        <v>9195</v>
      </c>
      <c r="G82" s="46"/>
      <c r="H82" s="46"/>
      <c r="I82" s="18">
        <v>4</v>
      </c>
      <c r="J82" s="18"/>
      <c r="K82" s="18"/>
    </row>
    <row r="83" spans="2:11" x14ac:dyDescent="0.3">
      <c r="B83" s="7">
        <v>45714</v>
      </c>
      <c r="C83" s="19" t="s">
        <v>42</v>
      </c>
      <c r="D83" s="147">
        <v>11</v>
      </c>
      <c r="E83" s="8" t="str">
        <f>+IF(D83&gt;0,VLOOKUP(D83,'Código Tambos'!$B$2:$C$6,2,TRUE),0)</f>
        <v>Don Enrique (Amalina)</v>
      </c>
      <c r="F83" s="8">
        <v>6916</v>
      </c>
      <c r="G83" s="47">
        <v>23594</v>
      </c>
      <c r="H83" s="47">
        <f>+G83-SUM(F83:F85)</f>
        <v>-381</v>
      </c>
      <c r="I83" s="8">
        <v>2.2000000000000002</v>
      </c>
      <c r="J83" s="8"/>
      <c r="K83" s="8"/>
    </row>
    <row r="84" spans="2:11" x14ac:dyDescent="0.3">
      <c r="B84" s="9">
        <v>45714</v>
      </c>
      <c r="C84" s="20" t="s">
        <v>42</v>
      </c>
      <c r="D84" s="148">
        <v>10</v>
      </c>
      <c r="E84" s="10" t="str">
        <f>+IF(D84&gt;0,VLOOKUP(D84,'Código Tambos'!$B$2:$C$6,2,TRUE),0)</f>
        <v>Huaca Hue</v>
      </c>
      <c r="F84" s="10">
        <v>8403</v>
      </c>
      <c r="G84" s="48"/>
      <c r="H84" s="48"/>
      <c r="I84" s="10">
        <v>4.4000000000000004</v>
      </c>
      <c r="J84" s="10"/>
      <c r="K84" s="10"/>
    </row>
    <row r="85" spans="2:11" x14ac:dyDescent="0.3">
      <c r="B85" s="9">
        <v>45714</v>
      </c>
      <c r="C85" s="20" t="s">
        <v>42</v>
      </c>
      <c r="D85" s="149">
        <v>13</v>
      </c>
      <c r="E85" s="12" t="str">
        <f>+IF(D85&gt;0,VLOOKUP(D85,'Código Tambos'!$B$2:$C$6,2,TRUE),0)</f>
        <v>Estancia Aleluya</v>
      </c>
      <c r="F85" s="12">
        <v>8656</v>
      </c>
      <c r="G85" s="49"/>
      <c r="H85" s="49"/>
      <c r="I85" s="12">
        <v>3.1</v>
      </c>
      <c r="J85" s="12"/>
      <c r="K85" s="12"/>
    </row>
    <row r="86" spans="2:11" x14ac:dyDescent="0.3">
      <c r="B86" s="13">
        <v>45715</v>
      </c>
      <c r="C86" s="34" t="s">
        <v>38</v>
      </c>
      <c r="D86" s="150">
        <v>11</v>
      </c>
      <c r="E86" s="14" t="str">
        <f>+IF(D86&gt;0,VLOOKUP(D86,'Código Tambos'!$B$2:$C$6,2,TRUE),0)</f>
        <v>Don Enrique (Amalina)</v>
      </c>
      <c r="F86" s="14">
        <v>6524</v>
      </c>
      <c r="G86" s="44">
        <v>23640</v>
      </c>
      <c r="H86" s="44">
        <f>+G86-SUM(F86:F88)</f>
        <v>-378</v>
      </c>
      <c r="I86" s="14">
        <v>4</v>
      </c>
      <c r="J86" s="14"/>
      <c r="K86" s="14"/>
    </row>
    <row r="87" spans="2:11" x14ac:dyDescent="0.3">
      <c r="B87" s="15">
        <v>45715</v>
      </c>
      <c r="C87" s="35" t="s">
        <v>38</v>
      </c>
      <c r="D87" s="151">
        <v>10</v>
      </c>
      <c r="E87" s="16" t="str">
        <f>+IF(D87&gt;0,VLOOKUP(D87,'Código Tambos'!$B$2:$C$6,2,TRUE),0)</f>
        <v>Huaca Hue</v>
      </c>
      <c r="F87" s="16">
        <v>8606</v>
      </c>
      <c r="G87" s="45"/>
      <c r="H87" s="45"/>
      <c r="I87" s="16">
        <v>5</v>
      </c>
      <c r="J87" s="16"/>
      <c r="K87" s="16"/>
    </row>
    <row r="88" spans="2:11" x14ac:dyDescent="0.3">
      <c r="B88" s="15">
        <v>45715</v>
      </c>
      <c r="C88" s="35" t="s">
        <v>38</v>
      </c>
      <c r="D88" s="152">
        <v>13</v>
      </c>
      <c r="E88" s="18" t="str">
        <f>+IF(D88&gt;0,VLOOKUP(D88,'Código Tambos'!$B$2:$C$6,2,TRUE),0)</f>
        <v>Estancia Aleluya</v>
      </c>
      <c r="F88" s="18">
        <v>8888</v>
      </c>
      <c r="G88" s="46"/>
      <c r="H88" s="46"/>
      <c r="I88" s="18">
        <v>5</v>
      </c>
      <c r="J88" s="18"/>
      <c r="K88" s="18"/>
    </row>
    <row r="89" spans="2:11" x14ac:dyDescent="0.3">
      <c r="B89" s="7">
        <v>45720</v>
      </c>
      <c r="C89" s="19" t="s">
        <v>31</v>
      </c>
      <c r="D89" s="147">
        <v>11</v>
      </c>
      <c r="E89" s="8" t="str">
        <f>+IF(D89&gt;0,VLOOKUP(D89,'Código Tambos'!$B$2:$C$6,2,TRUE),0)</f>
        <v>Don Enrique (Amalina)</v>
      </c>
      <c r="F89" s="8">
        <v>7109</v>
      </c>
      <c r="G89" s="47">
        <v>25206</v>
      </c>
      <c r="H89" s="47">
        <f>+G89-SUM(F89:F91)</f>
        <v>-61</v>
      </c>
      <c r="I89" s="8" t="s">
        <v>43</v>
      </c>
      <c r="J89" s="8"/>
      <c r="K89" s="8"/>
    </row>
    <row r="90" spans="2:11" x14ac:dyDescent="0.3">
      <c r="B90" s="9">
        <v>45720</v>
      </c>
      <c r="C90" s="20" t="s">
        <v>31</v>
      </c>
      <c r="D90" s="148">
        <v>10</v>
      </c>
      <c r="E90" s="10" t="str">
        <f>+IF(D90&gt;0,VLOOKUP(D90,'Código Tambos'!$B$2:$C$6,2,TRUE),0)</f>
        <v>Huaca Hue</v>
      </c>
      <c r="F90" s="10">
        <v>9106</v>
      </c>
      <c r="G90" s="48"/>
      <c r="H90" s="48"/>
      <c r="I90" s="10" t="s">
        <v>43</v>
      </c>
      <c r="J90" s="10"/>
      <c r="K90" s="10"/>
    </row>
    <row r="91" spans="2:11" x14ac:dyDescent="0.3">
      <c r="B91" s="11">
        <v>45720</v>
      </c>
      <c r="C91" s="26" t="s">
        <v>31</v>
      </c>
      <c r="D91" s="149">
        <v>13</v>
      </c>
      <c r="E91" s="12" t="str">
        <f>+IF(D91&gt;0,VLOOKUP(D91,'Código Tambos'!$B$2:$C$6,2,TRUE),0)</f>
        <v>Estancia Aleluya</v>
      </c>
      <c r="F91" s="12">
        <v>9052</v>
      </c>
      <c r="G91" s="49"/>
      <c r="H91" s="48"/>
      <c r="I91" s="12" t="s">
        <v>43</v>
      </c>
      <c r="J91" s="12"/>
      <c r="K91" s="12"/>
    </row>
    <row r="92" spans="2:11" x14ac:dyDescent="0.3">
      <c r="B92" s="13">
        <v>45721</v>
      </c>
      <c r="C92" s="34" t="s">
        <v>44</v>
      </c>
      <c r="D92" s="150">
        <v>11</v>
      </c>
      <c r="E92" s="14" t="str">
        <f>+IF(D92&gt;0,VLOOKUP(D92,'Código Tambos'!$B$2:$C$6,2,TRUE),0)</f>
        <v>Don Enrique (Amalina)</v>
      </c>
      <c r="F92" s="14">
        <v>6976</v>
      </c>
      <c r="G92" s="44">
        <v>24428</v>
      </c>
      <c r="H92" s="44">
        <f t="shared" ref="H92:H95" si="0">+G92-SUM(F92:F94)</f>
        <v>-434</v>
      </c>
      <c r="I92" s="14">
        <v>5</v>
      </c>
      <c r="J92" s="14"/>
      <c r="K92" s="14"/>
    </row>
    <row r="93" spans="2:11" x14ac:dyDescent="0.3">
      <c r="B93" s="15">
        <v>45721</v>
      </c>
      <c r="C93" s="35" t="s">
        <v>44</v>
      </c>
      <c r="D93" s="151">
        <v>10</v>
      </c>
      <c r="E93" s="16" t="str">
        <f>+IF(D93&gt;0,VLOOKUP(D93,'Código Tambos'!$B$2:$C$6,2,TRUE),0)</f>
        <v>Huaca Hue</v>
      </c>
      <c r="F93" s="16">
        <v>9196</v>
      </c>
      <c r="G93" s="45"/>
      <c r="H93" s="45"/>
      <c r="I93" s="16">
        <v>3</v>
      </c>
      <c r="J93" s="16"/>
      <c r="K93" s="16"/>
    </row>
    <row r="94" spans="2:11" x14ac:dyDescent="0.3">
      <c r="B94" s="15">
        <v>45721</v>
      </c>
      <c r="C94" s="35" t="s">
        <v>44</v>
      </c>
      <c r="D94" s="152">
        <v>13</v>
      </c>
      <c r="E94" s="18" t="str">
        <f>+IF(D94&gt;0,VLOOKUP(D94,'Código Tambos'!$B$2:$C$6,2,TRUE),0)</f>
        <v>Estancia Aleluya</v>
      </c>
      <c r="F94" s="18">
        <v>8690</v>
      </c>
      <c r="G94" s="46"/>
      <c r="H94" s="45"/>
      <c r="I94" s="18">
        <v>4</v>
      </c>
      <c r="J94" s="18"/>
      <c r="K94" s="18"/>
    </row>
    <row r="95" spans="2:11" x14ac:dyDescent="0.3">
      <c r="B95" s="7">
        <v>45722</v>
      </c>
      <c r="C95" s="19" t="s">
        <v>45</v>
      </c>
      <c r="D95" s="147">
        <v>11</v>
      </c>
      <c r="E95" s="8" t="str">
        <f>+IF(D95&gt;0,VLOOKUP(D95,'Código Tambos'!$B$2:$C$6,2,TRUE),0)</f>
        <v>Don Enrique (Amalina)</v>
      </c>
      <c r="F95" s="8">
        <v>6754</v>
      </c>
      <c r="G95" s="47">
        <v>23614</v>
      </c>
      <c r="H95" s="47">
        <f t="shared" si="0"/>
        <v>-420</v>
      </c>
      <c r="I95" s="8">
        <v>5</v>
      </c>
      <c r="J95" s="8"/>
      <c r="K95" s="8"/>
    </row>
    <row r="96" spans="2:11" x14ac:dyDescent="0.3">
      <c r="B96" s="9">
        <v>45722</v>
      </c>
      <c r="C96" s="20" t="s">
        <v>45</v>
      </c>
      <c r="D96" s="148">
        <v>10</v>
      </c>
      <c r="E96" s="10" t="str">
        <f>+IF(D96&gt;0,VLOOKUP(D96,'Código Tambos'!$B$2:$C$6,2,TRUE),0)</f>
        <v>Huaca Hue</v>
      </c>
      <c r="F96" s="10">
        <v>8702</v>
      </c>
      <c r="G96" s="48"/>
      <c r="H96" s="48"/>
      <c r="I96" s="10">
        <v>4</v>
      </c>
      <c r="J96" s="10"/>
      <c r="K96" s="10"/>
    </row>
    <row r="97" spans="2:11" x14ac:dyDescent="0.3">
      <c r="B97" s="11">
        <v>45722</v>
      </c>
      <c r="C97" s="26" t="s">
        <v>45</v>
      </c>
      <c r="D97" s="149">
        <v>13</v>
      </c>
      <c r="E97" s="12" t="str">
        <f>+IF(D97&gt;0,VLOOKUP(D97,'Código Tambos'!$B$2:$C$6,2,TRUE),0)</f>
        <v>Estancia Aleluya</v>
      </c>
      <c r="F97" s="12">
        <v>8578</v>
      </c>
      <c r="G97" s="49"/>
      <c r="H97" s="48"/>
      <c r="I97" s="12">
        <v>4.5</v>
      </c>
      <c r="J97" s="12"/>
      <c r="K97" s="12"/>
    </row>
    <row r="98" spans="2:11" x14ac:dyDescent="0.3">
      <c r="B98" s="13">
        <v>45725</v>
      </c>
      <c r="C98" s="34" t="s">
        <v>44</v>
      </c>
      <c r="D98" s="150">
        <v>11</v>
      </c>
      <c r="E98" s="14" t="str">
        <f>+IF(D98&gt;0,VLOOKUP(D98,'Código Tambos'!$B$2:$C$6,2,TRUE),0)</f>
        <v>Don Enrique (Amalina)</v>
      </c>
      <c r="F98" s="14">
        <v>6591</v>
      </c>
      <c r="G98" s="44">
        <v>23053</v>
      </c>
      <c r="H98" s="44">
        <f t="shared" ref="H98" si="1">+G98-SUM(F98:F100)</f>
        <v>-205</v>
      </c>
      <c r="I98" s="14">
        <v>3.4</v>
      </c>
      <c r="J98" s="14"/>
      <c r="K98" s="14"/>
    </row>
    <row r="99" spans="2:11" x14ac:dyDescent="0.3">
      <c r="B99" s="15">
        <v>45725</v>
      </c>
      <c r="C99" s="35" t="s">
        <v>44</v>
      </c>
      <c r="D99" s="151">
        <v>10</v>
      </c>
      <c r="E99" s="16" t="str">
        <f>+IF(D99&gt;0,VLOOKUP(D99,'Código Tambos'!$B$2:$C$6,2,TRUE),0)</f>
        <v>Huaca Hue</v>
      </c>
      <c r="F99" s="16">
        <v>8753</v>
      </c>
      <c r="G99" s="45"/>
      <c r="H99" s="45"/>
      <c r="I99" s="16">
        <v>3.2</v>
      </c>
      <c r="J99" s="16"/>
      <c r="K99" s="16"/>
    </row>
    <row r="100" spans="2:11" x14ac:dyDescent="0.3">
      <c r="B100" s="15">
        <v>45725</v>
      </c>
      <c r="C100" s="35" t="s">
        <v>44</v>
      </c>
      <c r="D100" s="152">
        <v>13</v>
      </c>
      <c r="E100" s="18" t="str">
        <f>+IF(D100&gt;0,VLOOKUP(D100,'Código Tambos'!$B$2:$C$6,2,TRUE),0)</f>
        <v>Estancia Aleluya</v>
      </c>
      <c r="F100" s="18">
        <v>7914</v>
      </c>
      <c r="G100" s="46"/>
      <c r="H100" s="46"/>
      <c r="I100" s="18">
        <v>3.5</v>
      </c>
      <c r="J100" s="18"/>
      <c r="K100" s="18"/>
    </row>
    <row r="101" spans="2:11" x14ac:dyDescent="0.3">
      <c r="B101" s="7">
        <v>45726</v>
      </c>
      <c r="C101" s="19" t="s">
        <v>46</v>
      </c>
      <c r="D101" s="147">
        <v>11</v>
      </c>
      <c r="E101" s="8" t="str">
        <f>+IF(D101&gt;0,VLOOKUP(D101,'Código Tambos'!$B$2:$C$6,2,TRUE),0)</f>
        <v>Don Enrique (Amalina)</v>
      </c>
      <c r="F101" s="8">
        <v>9425</v>
      </c>
      <c r="G101" s="47">
        <v>25330</v>
      </c>
      <c r="H101" s="47">
        <f t="shared" ref="H101" si="2">+G101-SUM(F101:F103)</f>
        <v>-418</v>
      </c>
      <c r="I101" s="8">
        <v>4</v>
      </c>
      <c r="J101" s="8"/>
      <c r="K101" s="8"/>
    </row>
    <row r="102" spans="2:11" x14ac:dyDescent="0.3">
      <c r="B102" s="9">
        <v>45726</v>
      </c>
      <c r="C102" s="20" t="s">
        <v>46</v>
      </c>
      <c r="D102" s="148">
        <v>10</v>
      </c>
      <c r="E102" s="10" t="str">
        <f>+IF(D102&gt;0,VLOOKUP(D102,'Código Tambos'!$B$2:$C$6,2,TRUE),0)</f>
        <v>Huaca Hue</v>
      </c>
      <c r="F102" s="10">
        <v>8250</v>
      </c>
      <c r="G102" s="48"/>
      <c r="H102" s="48"/>
      <c r="I102" s="10">
        <v>3</v>
      </c>
      <c r="J102" s="10"/>
      <c r="K102" s="10"/>
    </row>
    <row r="103" spans="2:11" x14ac:dyDescent="0.3">
      <c r="B103" s="11">
        <v>45726</v>
      </c>
      <c r="C103" s="26" t="s">
        <v>46</v>
      </c>
      <c r="D103" s="149">
        <v>13</v>
      </c>
      <c r="E103" s="12" t="str">
        <f>+IF(D103&gt;0,VLOOKUP(D103,'Código Tambos'!$B$2:$C$6,2,TRUE),0)</f>
        <v>Estancia Aleluya</v>
      </c>
      <c r="F103" s="12">
        <v>8073</v>
      </c>
      <c r="G103" s="49"/>
      <c r="H103" s="48"/>
      <c r="I103" s="12">
        <v>3</v>
      </c>
      <c r="J103" s="12"/>
      <c r="K103" s="12"/>
    </row>
    <row r="104" spans="2:11" x14ac:dyDescent="0.3">
      <c r="B104" s="13">
        <v>45726</v>
      </c>
      <c r="C104" s="34" t="s">
        <v>47</v>
      </c>
      <c r="D104" s="150">
        <v>11</v>
      </c>
      <c r="E104" s="14" t="str">
        <f>+IF(D104&gt;0,VLOOKUP(D104,'Código Tambos'!$B$2:$C$6,2,TRUE),0)</f>
        <v>Don Enrique (Amalina)</v>
      </c>
      <c r="F104" s="14">
        <v>6858</v>
      </c>
      <c r="G104" s="44">
        <v>24310</v>
      </c>
      <c r="H104" s="44">
        <f t="shared" ref="H104" si="3">+G104-SUM(F104:F106)</f>
        <v>17</v>
      </c>
      <c r="I104" s="14">
        <v>3</v>
      </c>
      <c r="J104" s="14"/>
      <c r="K104" s="14"/>
    </row>
    <row r="105" spans="2:11" x14ac:dyDescent="0.3">
      <c r="B105" s="15">
        <v>45727</v>
      </c>
      <c r="C105" s="35" t="s">
        <v>47</v>
      </c>
      <c r="D105" s="151">
        <v>10</v>
      </c>
      <c r="E105" s="16" t="str">
        <f>+IF(D105&gt;0,VLOOKUP(D105,'Código Tambos'!$B$2:$C$6,2,TRUE),0)</f>
        <v>Huaca Hue</v>
      </c>
      <c r="F105" s="16">
        <v>9018</v>
      </c>
      <c r="G105" s="45"/>
      <c r="H105" s="45"/>
      <c r="I105" s="16">
        <v>3</v>
      </c>
      <c r="J105" s="16"/>
      <c r="K105" s="16"/>
    </row>
    <row r="106" spans="2:11" x14ac:dyDescent="0.3">
      <c r="B106" s="15">
        <v>45727</v>
      </c>
      <c r="C106" s="35" t="s">
        <v>47</v>
      </c>
      <c r="D106" s="152">
        <v>13</v>
      </c>
      <c r="E106" s="16" t="str">
        <f>+IF(D106&gt;0,VLOOKUP(D106,'Código Tambos'!$B$2:$C$6,2,TRUE),0)</f>
        <v>Estancia Aleluya</v>
      </c>
      <c r="F106" s="18">
        <v>8417</v>
      </c>
      <c r="G106" s="46"/>
      <c r="H106" s="46"/>
      <c r="I106" s="18">
        <v>3.7</v>
      </c>
      <c r="J106" s="18"/>
      <c r="K106" s="18"/>
    </row>
    <row r="107" spans="2:11" x14ac:dyDescent="0.3">
      <c r="B107" s="7">
        <v>45732</v>
      </c>
      <c r="C107" s="19" t="s">
        <v>42</v>
      </c>
      <c r="D107" s="147">
        <v>11</v>
      </c>
      <c r="E107" s="8" t="str">
        <f>+IF(D107&gt;0,VLOOKUP(D107,'Código Tambos'!$B$2:$C$6,2,TRUE),0)</f>
        <v>Don Enrique (Amalina)</v>
      </c>
      <c r="F107" s="8">
        <v>9716</v>
      </c>
      <c r="G107" s="47">
        <v>27040</v>
      </c>
      <c r="H107" s="47">
        <f>+G107-SUM(F107+F108+F109)</f>
        <v>-446</v>
      </c>
      <c r="I107" s="8">
        <v>6</v>
      </c>
      <c r="J107" s="8"/>
      <c r="K107" s="8"/>
    </row>
    <row r="108" spans="2:11" x14ac:dyDescent="0.3">
      <c r="B108" s="9">
        <v>45733</v>
      </c>
      <c r="C108" s="20" t="s">
        <v>42</v>
      </c>
      <c r="D108" s="148">
        <v>10</v>
      </c>
      <c r="E108" s="10" t="str">
        <f>+IF(D108&gt;0,VLOOKUP(D108,'Código Tambos'!$B$2:$C$6,2,TRUE),0)</f>
        <v>Huaca Hue</v>
      </c>
      <c r="F108" s="10">
        <v>9433</v>
      </c>
      <c r="G108" s="48"/>
      <c r="H108" s="48"/>
      <c r="I108" s="10">
        <v>4</v>
      </c>
      <c r="J108" s="10"/>
      <c r="K108" s="10"/>
    </row>
    <row r="109" spans="2:11" x14ac:dyDescent="0.3">
      <c r="B109" s="11">
        <v>45733</v>
      </c>
      <c r="C109" s="26" t="s">
        <v>42</v>
      </c>
      <c r="D109" s="149">
        <v>13</v>
      </c>
      <c r="E109" s="12" t="str">
        <f>+IF(D109&gt;0,VLOOKUP(D109,'Código Tambos'!$B$2:$C$6,2,TRUE),0)</f>
        <v>Estancia Aleluya</v>
      </c>
      <c r="F109" s="12">
        <v>8337</v>
      </c>
      <c r="G109" s="49"/>
      <c r="H109" s="48"/>
      <c r="I109" s="12">
        <v>5</v>
      </c>
      <c r="J109" s="12"/>
      <c r="K109" s="12"/>
    </row>
    <row r="110" spans="2:11" x14ac:dyDescent="0.3">
      <c r="B110" s="13">
        <v>45733</v>
      </c>
      <c r="C110" s="34" t="s">
        <v>42</v>
      </c>
      <c r="D110" s="150">
        <v>11</v>
      </c>
      <c r="E110" s="14" t="str">
        <f>+IF(D110&gt;0,VLOOKUP(D110,'Código Tambos'!$B$2:$C$6,2,TRUE),0)</f>
        <v>Don Enrique (Amalina)</v>
      </c>
      <c r="F110" s="14">
        <v>10186</v>
      </c>
      <c r="G110" s="44">
        <v>28024</v>
      </c>
      <c r="H110" s="44">
        <f>G110-SUM(F110:F112)</f>
        <v>-395</v>
      </c>
      <c r="I110" s="14">
        <v>6</v>
      </c>
      <c r="J110" s="14"/>
      <c r="K110" s="14"/>
    </row>
    <row r="111" spans="2:11" x14ac:dyDescent="0.3">
      <c r="B111" s="15">
        <v>45734</v>
      </c>
      <c r="C111" s="35" t="s">
        <v>42</v>
      </c>
      <c r="D111" s="151">
        <v>10</v>
      </c>
      <c r="E111" s="16" t="str">
        <f>+IF(D111&gt;0,VLOOKUP(D111,'Código Tambos'!$B$2:$C$6,2,TRUE),0)</f>
        <v>Huaca Hue</v>
      </c>
      <c r="F111" s="16">
        <v>9682</v>
      </c>
      <c r="G111" s="45"/>
      <c r="H111" s="45"/>
      <c r="I111" s="16">
        <v>4</v>
      </c>
      <c r="J111" s="16"/>
      <c r="K111" s="16"/>
    </row>
    <row r="112" spans="2:11" x14ac:dyDescent="0.3">
      <c r="B112" s="17">
        <v>45734</v>
      </c>
      <c r="C112" s="36" t="s">
        <v>42</v>
      </c>
      <c r="D112" s="152">
        <v>13</v>
      </c>
      <c r="E112" s="18" t="str">
        <f>+IF(D112&gt;0,VLOOKUP(D112,'Código Tambos'!$B$2:$C$6,2,TRUE),0)</f>
        <v>Estancia Aleluya</v>
      </c>
      <c r="F112" s="18">
        <v>8551</v>
      </c>
      <c r="G112" s="46"/>
      <c r="H112" s="46"/>
      <c r="I112" s="18">
        <v>5</v>
      </c>
      <c r="J112" s="18"/>
      <c r="K112" s="18"/>
    </row>
    <row r="113" spans="2:11" x14ac:dyDescent="0.3">
      <c r="B113" s="7">
        <v>45734</v>
      </c>
      <c r="C113" s="19" t="s">
        <v>49</v>
      </c>
      <c r="D113" s="147">
        <v>11</v>
      </c>
      <c r="E113" s="8" t="str">
        <f>+IF(D113&gt;0,VLOOKUP(D113,'Código Tambos'!$B$2:$C$6,2,TRUE),0)</f>
        <v>Don Enrique (Amalina)</v>
      </c>
      <c r="F113" s="8">
        <v>9724</v>
      </c>
      <c r="G113" s="47">
        <v>27754</v>
      </c>
      <c r="H113" s="47">
        <f>G113-SUM(F113:F115)</f>
        <v>-427</v>
      </c>
      <c r="I113" s="8">
        <v>5</v>
      </c>
      <c r="J113" s="8"/>
      <c r="K113" s="8"/>
    </row>
    <row r="114" spans="2:11" x14ac:dyDescent="0.3">
      <c r="B114" s="9">
        <v>45735</v>
      </c>
      <c r="C114" s="20" t="s">
        <v>49</v>
      </c>
      <c r="D114" s="148">
        <v>10</v>
      </c>
      <c r="E114" s="10" t="str">
        <f>+IF(D114&gt;0,VLOOKUP(D114,'Código Tambos'!$B$2:$C$6,2,TRUE),0)</f>
        <v>Huaca Hue</v>
      </c>
      <c r="F114" s="10">
        <v>9703</v>
      </c>
      <c r="G114" s="48"/>
      <c r="H114" s="48"/>
      <c r="I114" s="10">
        <v>5</v>
      </c>
      <c r="J114" s="10"/>
      <c r="K114" s="10"/>
    </row>
    <row r="115" spans="2:11" x14ac:dyDescent="0.3">
      <c r="B115" s="11">
        <v>45735</v>
      </c>
      <c r="C115" s="26" t="s">
        <v>49</v>
      </c>
      <c r="D115" s="149">
        <v>13</v>
      </c>
      <c r="E115" s="12" t="str">
        <f>+IF(D115&gt;0,VLOOKUP(D115,'Código Tambos'!$B$2:$C$6,2,TRUE),0)</f>
        <v>Estancia Aleluya</v>
      </c>
      <c r="F115" s="12">
        <v>8754</v>
      </c>
      <c r="G115" s="49"/>
      <c r="H115" s="49"/>
      <c r="I115" s="12">
        <v>4</v>
      </c>
      <c r="J115" s="12"/>
      <c r="K115" s="12"/>
    </row>
    <row r="116" spans="2:11" x14ac:dyDescent="0.3">
      <c r="B116" s="7">
        <v>45748</v>
      </c>
      <c r="C116" s="19" t="s">
        <v>50</v>
      </c>
      <c r="D116" s="147">
        <v>11</v>
      </c>
      <c r="E116" s="8" t="str">
        <f>+IF(D116&gt;0,VLOOKUP(D116,'Código Tambos'!$B$2:$C$6,2,TRUE),0)</f>
        <v>Don Enrique (Amalina)</v>
      </c>
      <c r="F116" s="8">
        <v>9066</v>
      </c>
      <c r="G116" s="47">
        <f>+SUM(F116:F118)</f>
        <v>26355</v>
      </c>
      <c r="H116" s="47"/>
      <c r="I116" s="8">
        <v>5</v>
      </c>
      <c r="J116" s="8"/>
      <c r="K116" s="8"/>
    </row>
    <row r="117" spans="2:11" x14ac:dyDescent="0.3">
      <c r="B117" s="9">
        <v>45748</v>
      </c>
      <c r="C117" s="20" t="s">
        <v>50</v>
      </c>
      <c r="D117" s="148">
        <v>10</v>
      </c>
      <c r="E117" s="10" t="str">
        <f>+IF(D117&gt;0,VLOOKUP(D117,'Código Tambos'!$B$2:$C$6,2,TRUE),0)</f>
        <v>Huaca Hue</v>
      </c>
      <c r="F117" s="10">
        <v>8930</v>
      </c>
      <c r="G117" s="48"/>
      <c r="H117" s="48"/>
      <c r="I117" s="10">
        <v>4</v>
      </c>
      <c r="J117" s="10"/>
      <c r="K117" s="10"/>
    </row>
    <row r="118" spans="2:11" x14ac:dyDescent="0.3">
      <c r="B118" s="11">
        <v>45748</v>
      </c>
      <c r="C118" s="26" t="s">
        <v>50</v>
      </c>
      <c r="D118" s="149">
        <v>13</v>
      </c>
      <c r="E118" s="12" t="str">
        <f>+IF(D118&gt;0,VLOOKUP(D118,'Código Tambos'!$B$2:$C$6,2,TRUE),0)</f>
        <v>Estancia Aleluya</v>
      </c>
      <c r="F118" s="12">
        <v>8359</v>
      </c>
      <c r="G118" s="49"/>
      <c r="H118" s="49"/>
      <c r="I118" s="12">
        <v>4</v>
      </c>
      <c r="J118" s="12"/>
      <c r="K118" s="12"/>
    </row>
    <row r="119" spans="2:11" x14ac:dyDescent="0.3">
      <c r="B119" s="13">
        <v>45749</v>
      </c>
      <c r="C119" s="34" t="s">
        <v>50</v>
      </c>
      <c r="D119" s="150">
        <v>11</v>
      </c>
      <c r="E119" s="14" t="str">
        <f>+IF(D119&gt;0,VLOOKUP(D119,'Código Tambos'!$B$2:$C$6,2,TRUE),0)</f>
        <v>Don Enrique (Amalina)</v>
      </c>
      <c r="F119" s="14">
        <v>8605</v>
      </c>
      <c r="G119" s="44">
        <v>25976</v>
      </c>
      <c r="H119" s="44">
        <f>+G119-SUM(F119:F121)</f>
        <v>-123</v>
      </c>
      <c r="I119" s="14">
        <v>2</v>
      </c>
      <c r="J119" s="14"/>
      <c r="K119" s="14"/>
    </row>
    <row r="120" spans="2:11" x14ac:dyDescent="0.3">
      <c r="B120" s="15">
        <v>45749</v>
      </c>
      <c r="C120" s="35" t="s">
        <v>50</v>
      </c>
      <c r="D120" s="151">
        <v>10</v>
      </c>
      <c r="E120" s="16" t="str">
        <f>+IF(D120&gt;0,VLOOKUP(D120,'Código Tambos'!$B$2:$C$6,2,TRUE),0)</f>
        <v>Huaca Hue</v>
      </c>
      <c r="F120" s="16">
        <v>8937</v>
      </c>
      <c r="G120" s="45"/>
      <c r="H120" s="45"/>
      <c r="I120" s="16">
        <v>4</v>
      </c>
      <c r="J120" s="16"/>
      <c r="K120" s="16"/>
    </row>
    <row r="121" spans="2:11" x14ac:dyDescent="0.3">
      <c r="B121" s="17">
        <v>45749</v>
      </c>
      <c r="C121" s="36" t="s">
        <v>50</v>
      </c>
      <c r="D121" s="152">
        <v>13</v>
      </c>
      <c r="E121" s="18" t="str">
        <f>+IF(D121&gt;0,VLOOKUP(D121,'Código Tambos'!$B$2:$C$6,2,TRUE),0)</f>
        <v>Estancia Aleluya</v>
      </c>
      <c r="F121" s="18">
        <v>8557</v>
      </c>
      <c r="G121" s="46"/>
      <c r="H121" s="46"/>
      <c r="I121" s="18">
        <v>4</v>
      </c>
      <c r="J121" s="18"/>
      <c r="K121" s="18"/>
    </row>
    <row r="122" spans="2:11" x14ac:dyDescent="0.3">
      <c r="B122" s="7">
        <v>45750</v>
      </c>
      <c r="C122" s="19" t="s">
        <v>51</v>
      </c>
      <c r="D122" s="147">
        <v>11</v>
      </c>
      <c r="E122" s="8" t="str">
        <f>+IF(D122&gt;0,VLOOKUP(D122,'Código Tambos'!$B$2:$C$6,2,TRUE),0)</f>
        <v>Don Enrique (Amalina)</v>
      </c>
      <c r="F122" s="8">
        <v>9531</v>
      </c>
      <c r="G122" s="47">
        <v>26586</v>
      </c>
      <c r="H122" s="47">
        <f>+G122-SUM(F122:F124)</f>
        <v>-142</v>
      </c>
      <c r="I122" s="8">
        <v>5</v>
      </c>
      <c r="J122" s="8"/>
      <c r="K122" s="8"/>
    </row>
    <row r="123" spans="2:11" x14ac:dyDescent="0.3">
      <c r="B123" s="9">
        <v>45750</v>
      </c>
      <c r="C123" s="20" t="s">
        <v>51</v>
      </c>
      <c r="D123" s="148">
        <v>10</v>
      </c>
      <c r="E123" s="10" t="str">
        <f>+IF(D123&gt;0,VLOOKUP(D123,'Código Tambos'!$B$2:$C$6,2,TRUE),0)</f>
        <v>Huaca Hue</v>
      </c>
      <c r="F123" s="10">
        <v>8593</v>
      </c>
      <c r="G123" s="48"/>
      <c r="H123" s="48"/>
      <c r="I123" s="10">
        <v>4</v>
      </c>
      <c r="J123" s="10"/>
      <c r="K123" s="10"/>
    </row>
    <row r="124" spans="2:11" x14ac:dyDescent="0.3">
      <c r="B124" s="11">
        <v>45750</v>
      </c>
      <c r="C124" s="26" t="s">
        <v>51</v>
      </c>
      <c r="D124" s="149">
        <v>13</v>
      </c>
      <c r="E124" s="12" t="str">
        <f>+IF(D124&gt;0,VLOOKUP(D124,'Código Tambos'!$B$2:$C$6,2,TRUE),0)</f>
        <v>Estancia Aleluya</v>
      </c>
      <c r="F124" s="12">
        <v>8604</v>
      </c>
      <c r="G124" s="49"/>
      <c r="H124" s="49"/>
      <c r="I124" s="12">
        <v>4</v>
      </c>
      <c r="J124" s="12"/>
      <c r="K124" s="12"/>
    </row>
    <row r="125" spans="2:11" x14ac:dyDescent="0.3">
      <c r="B125" s="13">
        <v>45753</v>
      </c>
      <c r="C125" s="34" t="s">
        <v>52</v>
      </c>
      <c r="D125" s="150">
        <v>11</v>
      </c>
      <c r="E125" s="14" t="str">
        <f>+IF(D125&gt;0,VLOOKUP(D125,'Código Tambos'!$B$2:$C$6,2,TRUE),0)</f>
        <v>Don Enrique (Amalina)</v>
      </c>
      <c r="F125" s="14">
        <v>9497</v>
      </c>
      <c r="G125" s="44">
        <v>26456</v>
      </c>
      <c r="H125" s="44">
        <f>+G125-SUM(F125:F127)</f>
        <v>-89</v>
      </c>
      <c r="I125" s="14">
        <v>5</v>
      </c>
      <c r="J125" s="14"/>
      <c r="K125" s="14"/>
    </row>
    <row r="126" spans="2:11" x14ac:dyDescent="0.3">
      <c r="B126" s="15">
        <v>45753</v>
      </c>
      <c r="C126" s="35" t="s">
        <v>52</v>
      </c>
      <c r="D126" s="151">
        <v>10</v>
      </c>
      <c r="E126" s="16" t="str">
        <f>+IF(D126&gt;0,VLOOKUP(D126,'Código Tambos'!$B$2:$C$6,2,TRUE),0)</f>
        <v>Huaca Hue</v>
      </c>
      <c r="F126" s="16">
        <v>9354</v>
      </c>
      <c r="G126" s="45"/>
      <c r="H126" s="45"/>
      <c r="I126" s="16">
        <v>4</v>
      </c>
      <c r="J126" s="16"/>
      <c r="K126" s="16"/>
    </row>
    <row r="127" spans="2:11" x14ac:dyDescent="0.3">
      <c r="B127" s="17">
        <v>45753</v>
      </c>
      <c r="C127" s="36" t="s">
        <v>52</v>
      </c>
      <c r="D127" s="152">
        <v>13</v>
      </c>
      <c r="E127" s="18" t="str">
        <f>+IF(D127&gt;0,VLOOKUP(D127,'Código Tambos'!$B$2:$C$6,2,TRUE),0)</f>
        <v>Estancia Aleluya</v>
      </c>
      <c r="F127" s="18">
        <v>7694</v>
      </c>
      <c r="G127" s="46"/>
      <c r="H127" s="46"/>
      <c r="I127" s="18">
        <v>4</v>
      </c>
      <c r="J127" s="18"/>
      <c r="K127" s="18"/>
    </row>
    <row r="128" spans="2:11" x14ac:dyDescent="0.3">
      <c r="B128" s="7">
        <v>45754</v>
      </c>
      <c r="C128" s="19" t="s">
        <v>45</v>
      </c>
      <c r="D128" s="147">
        <v>11</v>
      </c>
      <c r="E128" s="8" t="str">
        <f>+IF(D128&gt;0,VLOOKUP(D128,'Código Tambos'!$B$2:$C$6,2,TRUE),0)</f>
        <v>Don Enrique (Amalina)</v>
      </c>
      <c r="F128" s="8">
        <v>9366</v>
      </c>
      <c r="G128" s="47">
        <v>27850</v>
      </c>
      <c r="H128" s="47">
        <f>+G128-SUM(F128:F130)</f>
        <v>-122</v>
      </c>
      <c r="I128" s="8">
        <v>4</v>
      </c>
      <c r="J128" s="8"/>
      <c r="K128" s="8"/>
    </row>
    <row r="129" spans="2:11" x14ac:dyDescent="0.3">
      <c r="B129" s="9">
        <v>45754</v>
      </c>
      <c r="C129" s="20" t="s">
        <v>45</v>
      </c>
      <c r="D129" s="148">
        <v>10</v>
      </c>
      <c r="E129" s="10" t="str">
        <f>+IF(D129&gt;0,VLOOKUP(D129,'Código Tambos'!$B$2:$C$6,2,TRUE),0)</f>
        <v>Huaca Hue</v>
      </c>
      <c r="F129" s="10">
        <v>9666</v>
      </c>
      <c r="G129" s="48"/>
      <c r="H129" s="48"/>
      <c r="I129" s="10">
        <v>3.5</v>
      </c>
      <c r="J129" s="10"/>
      <c r="K129" s="10"/>
    </row>
    <row r="130" spans="2:11" x14ac:dyDescent="0.3">
      <c r="B130" s="11">
        <v>45754</v>
      </c>
      <c r="C130" s="26" t="s">
        <v>45</v>
      </c>
      <c r="D130" s="149">
        <v>13</v>
      </c>
      <c r="E130" s="12" t="str">
        <f>+IF(D130&gt;0,VLOOKUP(D130,'Código Tambos'!$B$2:$C$6,2,TRUE),0)</f>
        <v>Estancia Aleluya</v>
      </c>
      <c r="F130" s="12">
        <v>8940</v>
      </c>
      <c r="G130" s="49"/>
      <c r="H130" s="49"/>
      <c r="I130" s="12">
        <v>4</v>
      </c>
      <c r="J130" s="12"/>
      <c r="K130" s="12"/>
    </row>
    <row r="131" spans="2:11" x14ac:dyDescent="0.3">
      <c r="B131" s="13">
        <v>45754</v>
      </c>
      <c r="C131" s="34" t="s">
        <v>53</v>
      </c>
      <c r="D131" s="150">
        <v>11</v>
      </c>
      <c r="E131" s="14" t="str">
        <f>+IF(D131&gt;0,VLOOKUP(D131,'Código Tambos'!$B$2:$C$6,2,TRUE),0)</f>
        <v>Don Enrique (Amalina)</v>
      </c>
      <c r="F131" s="14">
        <v>9317</v>
      </c>
      <c r="G131" s="44">
        <v>27530</v>
      </c>
      <c r="H131" s="44">
        <f>+G131-SUM(F131:F133)</f>
        <v>-187</v>
      </c>
      <c r="I131" s="14">
        <v>5</v>
      </c>
      <c r="J131" s="14"/>
      <c r="K131" s="14"/>
    </row>
    <row r="132" spans="2:11" x14ac:dyDescent="0.3">
      <c r="B132" s="15">
        <v>45755</v>
      </c>
      <c r="C132" s="35" t="s">
        <v>53</v>
      </c>
      <c r="D132" s="151">
        <v>10</v>
      </c>
      <c r="E132" s="16" t="str">
        <f>+IF(D132&gt;0,VLOOKUP(D132,'Código Tambos'!$B$2:$C$6,2,TRUE),0)</f>
        <v>Huaca Hue</v>
      </c>
      <c r="F132" s="16">
        <v>9475</v>
      </c>
      <c r="G132" s="45"/>
      <c r="H132" s="45"/>
      <c r="I132" s="16">
        <v>4</v>
      </c>
      <c r="J132" s="16"/>
      <c r="K132" s="16"/>
    </row>
    <row r="133" spans="2:11" x14ac:dyDescent="0.3">
      <c r="B133" s="17">
        <v>45755</v>
      </c>
      <c r="C133" s="36" t="s">
        <v>53</v>
      </c>
      <c r="D133" s="152">
        <v>13</v>
      </c>
      <c r="E133" s="18" t="str">
        <f>+IF(D133&gt;0,VLOOKUP(D133,'Código Tambos'!$B$2:$C$6,2,TRUE),0)</f>
        <v>Estancia Aleluya</v>
      </c>
      <c r="F133" s="18">
        <v>8925</v>
      </c>
      <c r="G133" s="46"/>
      <c r="H133" s="46"/>
      <c r="I133" s="18">
        <v>4</v>
      </c>
      <c r="J133" s="18"/>
      <c r="K133" s="18"/>
    </row>
    <row r="134" spans="2:11" x14ac:dyDescent="0.3">
      <c r="B134" s="7">
        <v>45774</v>
      </c>
      <c r="C134" s="19" t="s">
        <v>29</v>
      </c>
      <c r="D134" s="147">
        <v>11</v>
      </c>
      <c r="E134" s="8" t="str">
        <f>+IF(D134&gt;0,VLOOKUP(D134,'Código Tambos'!$B$2:$C$6,2,TRUE),0)</f>
        <v>Don Enrique (Amalina)</v>
      </c>
      <c r="F134" s="8">
        <v>9823</v>
      </c>
      <c r="G134" s="47">
        <v>26154</v>
      </c>
      <c r="H134" s="47">
        <f>+G134-SUM(F134:F136)</f>
        <v>4</v>
      </c>
      <c r="I134" s="8">
        <v>4</v>
      </c>
      <c r="J134" s="8"/>
      <c r="K134" s="8"/>
    </row>
    <row r="135" spans="2:11" x14ac:dyDescent="0.3">
      <c r="B135" s="9">
        <v>45774</v>
      </c>
      <c r="C135" s="20" t="s">
        <v>29</v>
      </c>
      <c r="D135" s="148">
        <v>10</v>
      </c>
      <c r="E135" s="10" t="str">
        <f>+IF(D135&gt;0,VLOOKUP(D135,'Código Tambos'!$B$2:$C$6,2,TRUE),0)</f>
        <v>Huaca Hue</v>
      </c>
      <c r="F135" s="10">
        <v>8521</v>
      </c>
      <c r="G135" s="48"/>
      <c r="H135" s="48"/>
      <c r="I135" s="10">
        <v>3.5</v>
      </c>
      <c r="J135" s="10"/>
      <c r="K135" s="10"/>
    </row>
    <row r="136" spans="2:11" x14ac:dyDescent="0.3">
      <c r="B136" s="11">
        <v>45774</v>
      </c>
      <c r="C136" s="26" t="s">
        <v>29</v>
      </c>
      <c r="D136" s="149">
        <v>13</v>
      </c>
      <c r="E136" s="12" t="str">
        <f>+IF(D136&gt;0,VLOOKUP(D136,'Código Tambos'!$B$2:$C$6,2,TRUE),0)</f>
        <v>Estancia Aleluya</v>
      </c>
      <c r="F136" s="12">
        <v>7806</v>
      </c>
      <c r="G136" s="49"/>
      <c r="H136" s="49"/>
      <c r="I136" s="12">
        <v>4</v>
      </c>
      <c r="J136" s="12"/>
      <c r="K136" s="12"/>
    </row>
    <row r="137" spans="2:11" x14ac:dyDescent="0.3">
      <c r="B137" s="13">
        <v>45775</v>
      </c>
      <c r="C137" s="34" t="s">
        <v>52</v>
      </c>
      <c r="D137" s="150">
        <v>11</v>
      </c>
      <c r="E137" s="14" t="str">
        <f>+IF(D137&gt;0,VLOOKUP(D137,'Código Tambos'!$B$2:$C$6,2,TRUE),0)</f>
        <v>Don Enrique (Amalina)</v>
      </c>
      <c r="F137" s="14">
        <v>9330</v>
      </c>
      <c r="G137" s="44">
        <v>25400</v>
      </c>
      <c r="H137" s="44">
        <f>+G137-SUM(F137:F139)</f>
        <v>19</v>
      </c>
      <c r="I137" s="14">
        <v>4</v>
      </c>
      <c r="J137" s="14"/>
      <c r="K137" s="14"/>
    </row>
    <row r="138" spans="2:11" x14ac:dyDescent="0.3">
      <c r="B138" s="15">
        <v>45775</v>
      </c>
      <c r="C138" s="35" t="s">
        <v>52</v>
      </c>
      <c r="D138" s="151">
        <v>10</v>
      </c>
      <c r="E138" s="16" t="str">
        <f>+IF(D138&gt;0,VLOOKUP(D138,'Código Tambos'!$B$2:$C$6,2,TRUE),0)</f>
        <v>Huaca Hue</v>
      </c>
      <c r="F138" s="16">
        <v>8095</v>
      </c>
      <c r="G138" s="45"/>
      <c r="H138" s="45"/>
      <c r="I138" s="16">
        <v>3</v>
      </c>
      <c r="J138" s="16"/>
      <c r="K138" s="16"/>
    </row>
    <row r="139" spans="2:11" x14ac:dyDescent="0.3">
      <c r="B139" s="17">
        <v>45775</v>
      </c>
      <c r="C139" s="36" t="s">
        <v>52</v>
      </c>
      <c r="D139" s="152">
        <v>13</v>
      </c>
      <c r="E139" s="18" t="str">
        <f>+IF(D139&gt;0,VLOOKUP(D139,'Código Tambos'!$B$2:$C$6,2,TRUE),0)</f>
        <v>Estancia Aleluya</v>
      </c>
      <c r="F139" s="18">
        <v>7956</v>
      </c>
      <c r="G139" s="46"/>
      <c r="H139" s="46"/>
      <c r="I139" s="18">
        <v>4</v>
      </c>
      <c r="J139" s="18"/>
      <c r="K139" s="18"/>
    </row>
    <row r="140" spans="2:11" x14ac:dyDescent="0.3">
      <c r="B140" s="7">
        <v>45816</v>
      </c>
      <c r="C140" s="19" t="s">
        <v>54</v>
      </c>
      <c r="D140" s="147">
        <v>13</v>
      </c>
      <c r="E140" s="8" t="str">
        <f>+IF(D140&gt;0,VLOOKUP(D140,'Código Tambos'!$B$2:$C$6,2,TRUE),0)</f>
        <v>Estancia Aleluya</v>
      </c>
      <c r="F140" s="8">
        <v>9007</v>
      </c>
      <c r="G140" s="47">
        <v>26872</v>
      </c>
      <c r="H140" s="47">
        <f>+G140-SUM(F140:F142)</f>
        <v>55</v>
      </c>
      <c r="I140" s="8">
        <v>6</v>
      </c>
      <c r="J140" s="8"/>
      <c r="K140" s="8"/>
    </row>
    <row r="141" spans="2:11" x14ac:dyDescent="0.3">
      <c r="B141" s="9">
        <v>45816</v>
      </c>
      <c r="C141" s="20" t="s">
        <v>54</v>
      </c>
      <c r="D141" s="148">
        <v>10</v>
      </c>
      <c r="E141" s="10" t="str">
        <f>+IF(D141&gt;0,VLOOKUP(D141,'Código Tambos'!$B$2:$C$6,2,TRUE),0)</f>
        <v>Huaca Hue</v>
      </c>
      <c r="F141" s="10">
        <v>9713</v>
      </c>
      <c r="G141" s="48"/>
      <c r="H141" s="48"/>
      <c r="I141" s="10">
        <v>2.7</v>
      </c>
      <c r="J141" s="10"/>
      <c r="K141" s="10"/>
    </row>
    <row r="142" spans="2:11" x14ac:dyDescent="0.3">
      <c r="B142" s="11">
        <v>45816</v>
      </c>
      <c r="C142" s="26" t="s">
        <v>54</v>
      </c>
      <c r="D142" s="149">
        <v>11</v>
      </c>
      <c r="E142" s="12" t="str">
        <f>+IF(D142&gt;0,VLOOKUP(D142,'Código Tambos'!$B$2:$C$6,2,TRUE),0)</f>
        <v>Don Enrique (Amalina)</v>
      </c>
      <c r="F142" s="12">
        <v>8097</v>
      </c>
      <c r="G142" s="49"/>
      <c r="H142" s="49"/>
      <c r="I142" s="12">
        <v>3.1</v>
      </c>
      <c r="J142" s="12"/>
      <c r="K142" s="12"/>
    </row>
    <row r="143" spans="2:11" x14ac:dyDescent="0.3">
      <c r="B143" s="55">
        <v>45818</v>
      </c>
      <c r="C143" s="34" t="s">
        <v>55</v>
      </c>
      <c r="D143" s="150">
        <v>13</v>
      </c>
      <c r="E143" s="14" t="str">
        <f>+IF(D143&gt;0,VLOOKUP(D143,'Código Tambos'!$B$2:$C$6,2,TRUE),0)</f>
        <v>Estancia Aleluya</v>
      </c>
      <c r="F143" s="14">
        <v>8733</v>
      </c>
      <c r="G143" s="44">
        <v>28091</v>
      </c>
      <c r="H143" s="65">
        <f>+G143-SUM(F143:F145)</f>
        <v>800</v>
      </c>
      <c r="I143" s="56">
        <v>5.5</v>
      </c>
      <c r="J143" s="14"/>
      <c r="K143" s="58"/>
    </row>
    <row r="144" spans="2:11" x14ac:dyDescent="0.3">
      <c r="B144" s="59">
        <v>45818</v>
      </c>
      <c r="C144" s="35" t="s">
        <v>55</v>
      </c>
      <c r="D144" s="151">
        <v>10</v>
      </c>
      <c r="E144" s="16" t="str">
        <f>+IF(D144&gt;0,VLOOKUP(D144,'Código Tambos'!$B$2:$C$6,2,TRUE),0)</f>
        <v>Huaca Hue</v>
      </c>
      <c r="F144" s="16">
        <v>9518</v>
      </c>
      <c r="G144" s="45"/>
      <c r="H144" s="45"/>
      <c r="I144" s="53">
        <v>4.0999999999999996</v>
      </c>
      <c r="J144" s="16"/>
      <c r="K144" s="60"/>
    </row>
    <row r="145" spans="2:11" x14ac:dyDescent="0.3">
      <c r="B145" s="61">
        <v>45818</v>
      </c>
      <c r="C145" s="36" t="s">
        <v>55</v>
      </c>
      <c r="D145" s="152">
        <v>11</v>
      </c>
      <c r="E145" s="18" t="str">
        <f>+IF(D145&gt;0,VLOOKUP(D145,'Código Tambos'!$B$2:$C$6,2,TRUE),0)</f>
        <v>Don Enrique (Amalina)</v>
      </c>
      <c r="F145" s="18">
        <v>9040</v>
      </c>
      <c r="G145" s="46"/>
      <c r="H145" s="46"/>
      <c r="I145" s="62">
        <v>3.9</v>
      </c>
      <c r="J145" s="18"/>
      <c r="K145" s="64"/>
    </row>
    <row r="146" spans="2:11" x14ac:dyDescent="0.3">
      <c r="B146" s="7">
        <v>45819</v>
      </c>
      <c r="C146" s="19" t="s">
        <v>56</v>
      </c>
      <c r="D146" s="147">
        <v>11</v>
      </c>
      <c r="E146" s="8" t="str">
        <f>+IF(D146&gt;0,VLOOKUP(D146,'Código Tambos'!$B$2:$C$6,2,TRUE),0)</f>
        <v>Don Enrique (Amalina)</v>
      </c>
      <c r="F146" s="8">
        <v>9100</v>
      </c>
      <c r="G146" s="47">
        <v>27702</v>
      </c>
      <c r="H146" s="47">
        <f>+G146-SUM(F146:F148)</f>
        <v>-74</v>
      </c>
      <c r="I146" s="8">
        <v>3.1</v>
      </c>
      <c r="J146" s="8"/>
      <c r="K146" s="8"/>
    </row>
    <row r="147" spans="2:11" x14ac:dyDescent="0.3">
      <c r="B147" s="9">
        <v>45819</v>
      </c>
      <c r="C147" s="20" t="s">
        <v>56</v>
      </c>
      <c r="D147" s="148">
        <v>10</v>
      </c>
      <c r="E147" s="10" t="str">
        <f>+IF(D147&gt;0,VLOOKUP(D147,'Código Tambos'!$B$2:$C$6,2,TRUE),0)</f>
        <v>Huaca Hue</v>
      </c>
      <c r="F147" s="10">
        <v>9564</v>
      </c>
      <c r="G147" s="48"/>
      <c r="H147" s="48"/>
      <c r="I147" s="10">
        <v>4.0999999999999996</v>
      </c>
      <c r="J147" s="10"/>
      <c r="K147" s="10"/>
    </row>
    <row r="148" spans="2:11" x14ac:dyDescent="0.3">
      <c r="B148" s="11">
        <v>45819</v>
      </c>
      <c r="C148" s="26" t="s">
        <v>56</v>
      </c>
      <c r="D148" s="149">
        <v>13</v>
      </c>
      <c r="E148" s="12" t="str">
        <f>+IF(D148&gt;0,VLOOKUP(D148,'Código Tambos'!$B$2:$C$6,2,TRUE),0)</f>
        <v>Estancia Aleluya</v>
      </c>
      <c r="F148" s="12">
        <v>9112</v>
      </c>
      <c r="G148" s="49"/>
      <c r="H148" s="49"/>
      <c r="I148" s="12">
        <v>4.8</v>
      </c>
      <c r="J148" s="12"/>
      <c r="K148" s="12"/>
    </row>
    <row r="149" spans="2:11" x14ac:dyDescent="0.3">
      <c r="B149" s="55">
        <v>45824</v>
      </c>
      <c r="C149" s="34" t="s">
        <v>57</v>
      </c>
      <c r="D149" s="150">
        <v>13</v>
      </c>
      <c r="E149" s="14" t="str">
        <f>+IF(D149&gt;0,VLOOKUP(D149,'Código Tambos'!$B$2:$C$6,2,TRUE),0)</f>
        <v>Estancia Aleluya</v>
      </c>
      <c r="F149" s="14">
        <v>8694</v>
      </c>
      <c r="G149" s="57">
        <v>27886</v>
      </c>
      <c r="H149" s="65">
        <f>+G149-SUM(F149:F151)</f>
        <v>54</v>
      </c>
      <c r="I149" s="14">
        <v>4.7</v>
      </c>
      <c r="J149" s="14"/>
      <c r="K149" s="58"/>
    </row>
    <row r="150" spans="2:11" x14ac:dyDescent="0.3">
      <c r="B150" s="59">
        <v>45824</v>
      </c>
      <c r="C150" s="35" t="s">
        <v>57</v>
      </c>
      <c r="D150" s="151">
        <v>10</v>
      </c>
      <c r="E150" s="16" t="str">
        <f>+IF(D150&gt;0,VLOOKUP(D150,'Código Tambos'!$B$2:$C$6,2,TRUE),0)</f>
        <v>Huaca Hue</v>
      </c>
      <c r="F150" s="16">
        <v>10305</v>
      </c>
      <c r="G150" s="54"/>
      <c r="H150" s="45"/>
      <c r="I150" s="16">
        <v>3.4</v>
      </c>
      <c r="J150" s="16"/>
      <c r="K150" s="60"/>
    </row>
    <row r="151" spans="2:11" x14ac:dyDescent="0.3">
      <c r="B151" s="61">
        <v>45824</v>
      </c>
      <c r="C151" s="36" t="s">
        <v>57</v>
      </c>
      <c r="D151" s="152">
        <v>11</v>
      </c>
      <c r="E151" s="18" t="str">
        <f>+IF(D151&gt;0,VLOOKUP(D151,'Código Tambos'!$B$2:$C$6,2,TRUE),0)</f>
        <v>Don Enrique (Amalina)</v>
      </c>
      <c r="F151" s="18">
        <v>8833</v>
      </c>
      <c r="G151" s="63"/>
      <c r="H151" s="46"/>
      <c r="I151" s="18">
        <v>4.9000000000000004</v>
      </c>
      <c r="J151" s="18"/>
      <c r="K151" s="64"/>
    </row>
    <row r="152" spans="2:11" x14ac:dyDescent="0.3">
      <c r="B152" s="7">
        <v>45825</v>
      </c>
      <c r="C152" s="19" t="s">
        <v>58</v>
      </c>
      <c r="D152" s="147">
        <v>10</v>
      </c>
      <c r="E152" s="8" t="str">
        <f>+IF(D152&gt;0,VLOOKUP(D152,'Código Tambos'!$B$2:$C$6,2,TRUE),0)</f>
        <v>Huaca Hue</v>
      </c>
      <c r="F152" s="8">
        <v>10239</v>
      </c>
      <c r="G152" s="47">
        <v>27520</v>
      </c>
      <c r="H152" s="47">
        <f>+G152-SUM(F152:F154)</f>
        <v>-49</v>
      </c>
      <c r="I152" s="8">
        <v>2.9</v>
      </c>
      <c r="J152" s="8"/>
      <c r="K152" s="8"/>
    </row>
    <row r="153" spans="2:11" x14ac:dyDescent="0.3">
      <c r="B153" s="9">
        <v>45825</v>
      </c>
      <c r="C153" s="20" t="s">
        <v>58</v>
      </c>
      <c r="D153" s="148">
        <v>11</v>
      </c>
      <c r="E153" s="10" t="str">
        <f>+IF(D153&gt;0,VLOOKUP(D153,'Código Tambos'!$B$2:$C$6,2,TRUE),0)</f>
        <v>Don Enrique (Amalina)</v>
      </c>
      <c r="F153" s="10">
        <v>8428</v>
      </c>
      <c r="G153" s="48"/>
      <c r="H153" s="48"/>
      <c r="I153" s="10">
        <v>4.8</v>
      </c>
      <c r="J153" s="10"/>
      <c r="K153" s="10"/>
    </row>
    <row r="154" spans="2:11" x14ac:dyDescent="0.3">
      <c r="B154" s="11">
        <v>45825</v>
      </c>
      <c r="C154" s="26" t="s">
        <v>58</v>
      </c>
      <c r="D154" s="149">
        <v>13</v>
      </c>
      <c r="E154" s="12" t="str">
        <f>+IF(D154&gt;0,VLOOKUP(D154,'Código Tambos'!$B$2:$C$6,2,TRUE),0)</f>
        <v>Estancia Aleluya</v>
      </c>
      <c r="F154" s="12">
        <v>8902</v>
      </c>
      <c r="G154" s="49"/>
      <c r="H154" s="49"/>
      <c r="I154" s="12">
        <v>3.9</v>
      </c>
      <c r="J154" s="12"/>
      <c r="K154" s="12"/>
    </row>
    <row r="155" spans="2:11" x14ac:dyDescent="0.3">
      <c r="B155" s="55">
        <v>45830</v>
      </c>
      <c r="C155" s="34" t="s">
        <v>59</v>
      </c>
      <c r="D155" s="150">
        <v>10</v>
      </c>
      <c r="E155" s="14" t="str">
        <f>+IF(D155&gt;0,VLOOKUP(D155,'Código Tambos'!$B$2:$C$6,2,TRUE),0)</f>
        <v>Huaca Hue</v>
      </c>
      <c r="F155" s="14">
        <v>9822</v>
      </c>
      <c r="G155" s="44">
        <v>26802</v>
      </c>
      <c r="H155" s="65">
        <f>+G155-SUM(F155:F157)</f>
        <v>22</v>
      </c>
      <c r="I155" s="14">
        <v>3.1</v>
      </c>
      <c r="J155" s="14"/>
      <c r="K155" s="58"/>
    </row>
    <row r="156" spans="2:11" x14ac:dyDescent="0.3">
      <c r="B156" s="59">
        <v>45830</v>
      </c>
      <c r="C156" s="35" t="s">
        <v>59</v>
      </c>
      <c r="D156" s="151">
        <v>11</v>
      </c>
      <c r="E156" s="16" t="str">
        <f>+IF(D156&gt;0,VLOOKUP(D156,'Código Tambos'!$B$2:$C$6,2,TRUE),0)</f>
        <v>Don Enrique (Amalina)</v>
      </c>
      <c r="F156" s="16">
        <v>8398</v>
      </c>
      <c r="G156" s="45"/>
      <c r="H156" s="45"/>
      <c r="I156" s="16">
        <v>4.8</v>
      </c>
      <c r="J156" s="16"/>
      <c r="K156" s="60"/>
    </row>
    <row r="157" spans="2:11" x14ac:dyDescent="0.3">
      <c r="B157" s="61">
        <v>45830</v>
      </c>
      <c r="C157" s="36" t="s">
        <v>59</v>
      </c>
      <c r="D157" s="152">
        <v>13</v>
      </c>
      <c r="E157" s="18" t="str">
        <f>+IF(D157&gt;0,VLOOKUP(D157,'Código Tambos'!$B$2:$C$6,2,TRUE),0)</f>
        <v>Estancia Aleluya</v>
      </c>
      <c r="F157" s="18">
        <v>8560</v>
      </c>
      <c r="G157" s="46"/>
      <c r="H157" s="46"/>
      <c r="I157" s="18">
        <v>4</v>
      </c>
      <c r="J157" s="18"/>
      <c r="K157" s="64"/>
    </row>
    <row r="158" spans="2:11" x14ac:dyDescent="0.3">
      <c r="B158" s="7">
        <v>45831</v>
      </c>
      <c r="C158" s="19" t="s">
        <v>60</v>
      </c>
      <c r="D158" s="147">
        <v>10</v>
      </c>
      <c r="E158" s="8" t="str">
        <f>+IF(D158&gt;0,VLOOKUP(D158,'Código Tambos'!$B$2:$C$6,2,TRUE),0)</f>
        <v>Huaca Hue</v>
      </c>
      <c r="F158" s="8">
        <v>9936</v>
      </c>
      <c r="G158" s="47">
        <v>26862</v>
      </c>
      <c r="H158" s="47">
        <f>+G158-SUM(F158:F160)</f>
        <v>38</v>
      </c>
      <c r="I158" s="8">
        <v>3</v>
      </c>
      <c r="J158" s="8"/>
      <c r="K158" s="8"/>
    </row>
    <row r="159" spans="2:11" x14ac:dyDescent="0.3">
      <c r="B159" s="9">
        <v>45831</v>
      </c>
      <c r="C159" s="20" t="s">
        <v>60</v>
      </c>
      <c r="D159" s="148">
        <v>11</v>
      </c>
      <c r="E159" s="10" t="str">
        <f>+IF(D159&gt;0,VLOOKUP(D159,'Código Tambos'!$B$2:$C$6,2,TRUE),0)</f>
        <v>Don Enrique (Amalina)</v>
      </c>
      <c r="F159" s="10">
        <v>8291</v>
      </c>
      <c r="G159" s="48"/>
      <c r="H159" s="48"/>
      <c r="I159" s="10">
        <v>4.9000000000000004</v>
      </c>
      <c r="J159" s="10"/>
      <c r="K159" s="10"/>
    </row>
    <row r="160" spans="2:11" x14ac:dyDescent="0.3">
      <c r="B160" s="11">
        <v>45831</v>
      </c>
      <c r="C160" s="26" t="s">
        <v>60</v>
      </c>
      <c r="D160" s="149">
        <v>13</v>
      </c>
      <c r="E160" s="12" t="str">
        <f>+IF(D160&gt;0,VLOOKUP(D160,'Código Tambos'!$B$2:$C$6,2,TRUE),0)</f>
        <v>Estancia Aleluya</v>
      </c>
      <c r="F160" s="12">
        <v>8597</v>
      </c>
      <c r="G160" s="49"/>
      <c r="H160" s="49"/>
      <c r="I160" s="12">
        <v>3.9</v>
      </c>
      <c r="J160" s="12"/>
      <c r="K160" s="12"/>
    </row>
    <row r="161" spans="2:11" x14ac:dyDescent="0.3">
      <c r="B161" s="59">
        <v>45832</v>
      </c>
      <c r="C161" s="35" t="s">
        <v>61</v>
      </c>
      <c r="D161" s="151">
        <v>10</v>
      </c>
      <c r="E161" s="14" t="str">
        <f>+IF(D161&gt;0,VLOOKUP(D161,'Código Tambos'!$B$2:$C$6,2,TRUE),0)</f>
        <v>Huaca Hue</v>
      </c>
      <c r="F161" s="16">
        <v>9285</v>
      </c>
      <c r="G161" s="45">
        <v>25784</v>
      </c>
      <c r="H161" s="65">
        <f>+G161-SUM(F161:F163)</f>
        <v>-27</v>
      </c>
      <c r="I161" s="16">
        <v>2.8</v>
      </c>
      <c r="J161" s="16"/>
      <c r="K161" s="60"/>
    </row>
    <row r="162" spans="2:11" x14ac:dyDescent="0.3">
      <c r="B162" s="59">
        <v>45832</v>
      </c>
      <c r="C162" s="35" t="s">
        <v>61</v>
      </c>
      <c r="D162" s="151">
        <v>11</v>
      </c>
      <c r="E162" s="16" t="str">
        <f>+IF(D162&gt;0,VLOOKUP(D162,'Código Tambos'!$B$2:$C$6,2,TRUE),0)</f>
        <v>Don Enrique (Amalina)</v>
      </c>
      <c r="F162" s="16">
        <v>7916</v>
      </c>
      <c r="G162" s="45"/>
      <c r="H162" s="45"/>
      <c r="I162" s="16">
        <v>4.7</v>
      </c>
      <c r="J162" s="16"/>
      <c r="K162" s="60"/>
    </row>
    <row r="163" spans="2:11" x14ac:dyDescent="0.3">
      <c r="B163" s="59">
        <v>45832</v>
      </c>
      <c r="C163" s="35" t="s">
        <v>61</v>
      </c>
      <c r="D163" s="151">
        <v>13</v>
      </c>
      <c r="E163" s="18" t="str">
        <f>+IF(D163&gt;0,VLOOKUP(D163,'Código Tambos'!$B$2:$C$6,2,TRUE),0)</f>
        <v>Estancia Aleluya</v>
      </c>
      <c r="F163" s="16">
        <v>8610</v>
      </c>
      <c r="G163" s="45"/>
      <c r="H163" s="45"/>
      <c r="I163" s="16">
        <v>3.9</v>
      </c>
      <c r="J163" s="16"/>
      <c r="K163" s="60"/>
    </row>
    <row r="164" spans="2:11" x14ac:dyDescent="0.3">
      <c r="B164" s="7">
        <v>45837</v>
      </c>
      <c r="C164" s="19" t="s">
        <v>62</v>
      </c>
      <c r="D164" s="147">
        <v>13</v>
      </c>
      <c r="E164" s="8" t="str">
        <f>+IF(D164&gt;0,VLOOKUP(D164,'Código Tambos'!$B$2:$C$6,2,TRUE),0)</f>
        <v>Estancia Aleluya</v>
      </c>
      <c r="F164" s="8">
        <v>9120</v>
      </c>
      <c r="G164" s="47">
        <v>26860</v>
      </c>
      <c r="H164" s="47">
        <f>+G164-SUM(F164:F166)</f>
        <v>81</v>
      </c>
      <c r="I164" s="8">
        <v>4.8</v>
      </c>
      <c r="J164" s="8"/>
      <c r="K164" s="8"/>
    </row>
    <row r="165" spans="2:11" x14ac:dyDescent="0.3">
      <c r="B165" s="9">
        <v>45837</v>
      </c>
      <c r="C165" s="20" t="s">
        <v>62</v>
      </c>
      <c r="D165" s="148">
        <v>10</v>
      </c>
      <c r="E165" s="10" t="str">
        <f>+IF(D165&gt;0,VLOOKUP(D165,'Código Tambos'!$B$2:$C$6,2,TRUE),0)</f>
        <v>Huaca Hue</v>
      </c>
      <c r="F165" s="10">
        <v>9796</v>
      </c>
      <c r="G165" s="48"/>
      <c r="H165" s="48"/>
      <c r="I165" s="10">
        <v>2.9</v>
      </c>
      <c r="J165" s="10"/>
      <c r="K165" s="10"/>
    </row>
    <row r="166" spans="2:11" x14ac:dyDescent="0.3">
      <c r="B166" s="11">
        <v>45837</v>
      </c>
      <c r="C166" s="26" t="s">
        <v>62</v>
      </c>
      <c r="D166" s="149">
        <v>11</v>
      </c>
      <c r="E166" s="12" t="str">
        <f>+IF(D166&gt;0,VLOOKUP(D166,'Código Tambos'!$B$2:$C$6,2,TRUE),0)</f>
        <v>Don Enrique (Amalina)</v>
      </c>
      <c r="F166" s="12">
        <v>7863</v>
      </c>
      <c r="G166" s="49"/>
      <c r="H166" s="49"/>
      <c r="I166" s="12">
        <v>4.8</v>
      </c>
      <c r="J166" s="12"/>
      <c r="K166" s="12"/>
    </row>
    <row r="167" spans="2:11" x14ac:dyDescent="0.3">
      <c r="B167" s="13">
        <v>45838</v>
      </c>
      <c r="C167" s="34" t="s">
        <v>63</v>
      </c>
      <c r="D167" s="150">
        <v>13</v>
      </c>
      <c r="E167" s="14" t="str">
        <f>+IF(D167&gt;0,VLOOKUP(D167,'Código Tambos'!$B$2:$C$6,2,TRUE),0)</f>
        <v>Estancia Aleluya</v>
      </c>
      <c r="F167" s="14">
        <v>9085</v>
      </c>
      <c r="G167" s="44">
        <v>27538</v>
      </c>
      <c r="H167" s="65">
        <f>+G167-SUM(F167:F169)</f>
        <v>73</v>
      </c>
      <c r="I167" s="14">
        <v>4.7</v>
      </c>
      <c r="J167" s="14"/>
      <c r="K167" s="58"/>
    </row>
    <row r="168" spans="2:11" x14ac:dyDescent="0.3">
      <c r="B168" s="15">
        <v>45838</v>
      </c>
      <c r="C168" s="35" t="s">
        <v>63</v>
      </c>
      <c r="D168" s="151">
        <v>10</v>
      </c>
      <c r="E168" s="16" t="str">
        <f>+IF(D168&gt;0,VLOOKUP(D168,'Código Tambos'!$B$2:$C$6,2,TRUE),0)</f>
        <v>Huaca Hue</v>
      </c>
      <c r="F168" s="16">
        <v>10077</v>
      </c>
      <c r="G168" s="45"/>
      <c r="H168" s="45"/>
      <c r="I168" s="16">
        <v>2.8</v>
      </c>
      <c r="J168" s="16"/>
      <c r="K168" s="60"/>
    </row>
    <row r="169" spans="2:11" x14ac:dyDescent="0.3">
      <c r="B169" s="17">
        <v>45838</v>
      </c>
      <c r="C169" s="36" t="s">
        <v>63</v>
      </c>
      <c r="D169" s="152">
        <v>11</v>
      </c>
      <c r="E169" s="18" t="str">
        <f>+IF(D169&gt;0,VLOOKUP(D169,'Código Tambos'!$B$2:$C$6,2,TRUE),0)</f>
        <v>Don Enrique (Amalina)</v>
      </c>
      <c r="F169" s="18">
        <v>8303</v>
      </c>
      <c r="G169" s="46"/>
      <c r="H169" s="46"/>
      <c r="I169" s="18">
        <v>4.8</v>
      </c>
      <c r="J169" s="18"/>
      <c r="K169" s="64"/>
    </row>
    <row r="170" spans="2:11" x14ac:dyDescent="0.3">
      <c r="B170" s="7">
        <v>45839</v>
      </c>
      <c r="C170" s="19" t="s">
        <v>64</v>
      </c>
      <c r="D170" s="147">
        <v>13</v>
      </c>
      <c r="E170" s="8" t="str">
        <f>+IF(D170&gt;0,VLOOKUP(D170,'Código Tambos'!$B$2:$C$6,2,TRUE),0)</f>
        <v>Estancia Aleluya</v>
      </c>
      <c r="F170" s="8">
        <v>8949</v>
      </c>
      <c r="G170" s="47">
        <v>27018</v>
      </c>
      <c r="H170" s="47">
        <f>+G170-SUM(F170:F172)</f>
        <v>-591</v>
      </c>
      <c r="I170" s="8">
        <v>4.8</v>
      </c>
      <c r="J170" s="8"/>
      <c r="K170" s="8"/>
    </row>
    <row r="171" spans="2:11" x14ac:dyDescent="0.3">
      <c r="B171" s="9">
        <v>45839</v>
      </c>
      <c r="C171" s="20" t="s">
        <v>64</v>
      </c>
      <c r="D171" s="148">
        <v>10</v>
      </c>
      <c r="E171" s="10" t="str">
        <f>+IF(D171&gt;0,VLOOKUP(D171,'Código Tambos'!$B$2:$C$6,2,TRUE),0)</f>
        <v>Huaca Hue</v>
      </c>
      <c r="F171" s="10">
        <v>10208</v>
      </c>
      <c r="G171" s="48"/>
      <c r="H171" s="48"/>
      <c r="I171" s="10">
        <v>2.8</v>
      </c>
      <c r="J171" s="10"/>
      <c r="K171" s="10"/>
    </row>
    <row r="172" spans="2:11" x14ac:dyDescent="0.3">
      <c r="B172" s="11">
        <v>45839</v>
      </c>
      <c r="C172" s="26" t="s">
        <v>64</v>
      </c>
      <c r="D172" s="149">
        <v>11</v>
      </c>
      <c r="E172" s="12" t="str">
        <f>+IF(D172&gt;0,VLOOKUP(D172,'Código Tambos'!$B$2:$C$6,2,TRUE),0)</f>
        <v>Don Enrique (Amalina)</v>
      </c>
      <c r="F172" s="12">
        <v>8452</v>
      </c>
      <c r="G172" s="49"/>
      <c r="H172" s="49"/>
      <c r="I172" s="12">
        <v>4.9000000000000004</v>
      </c>
      <c r="J172" s="12"/>
      <c r="K172" s="12"/>
    </row>
    <row r="173" spans="2:11" x14ac:dyDescent="0.3">
      <c r="B173" s="13">
        <v>45844</v>
      </c>
      <c r="C173" s="34" t="s">
        <v>65</v>
      </c>
      <c r="D173" s="150">
        <v>13</v>
      </c>
      <c r="E173" s="14" t="str">
        <f>+IF(D173&gt;0,VLOOKUP(D173,'Código Tambos'!$B$2:$C$6,2,TRUE),0)</f>
        <v>Estancia Aleluya</v>
      </c>
      <c r="F173" s="14">
        <v>9322</v>
      </c>
      <c r="G173" s="44">
        <v>27612</v>
      </c>
      <c r="H173" s="65">
        <f>+G173-SUM(F173:F175)</f>
        <v>-60</v>
      </c>
      <c r="I173" s="14">
        <v>5</v>
      </c>
      <c r="J173" s="14"/>
      <c r="K173" s="58"/>
    </row>
    <row r="174" spans="2:11" x14ac:dyDescent="0.3">
      <c r="B174" s="15">
        <v>45844</v>
      </c>
      <c r="C174" s="35" t="s">
        <v>65</v>
      </c>
      <c r="D174" s="151">
        <v>10</v>
      </c>
      <c r="E174" s="16" t="str">
        <f>+IF(D174&gt;0,VLOOKUP(D174,'Código Tambos'!$B$2:$C$6,2,TRUE),0)</f>
        <v>Huaca Hue</v>
      </c>
      <c r="F174" s="16">
        <v>9620</v>
      </c>
      <c r="G174" s="45"/>
      <c r="H174" s="45"/>
      <c r="I174" s="16">
        <v>4</v>
      </c>
      <c r="J174" s="16"/>
      <c r="K174" s="60"/>
    </row>
    <row r="175" spans="2:11" x14ac:dyDescent="0.3">
      <c r="B175" s="17">
        <v>45844</v>
      </c>
      <c r="C175" s="36" t="s">
        <v>65</v>
      </c>
      <c r="D175" s="152">
        <v>11</v>
      </c>
      <c r="E175" s="18" t="str">
        <f>+IF(D175&gt;0,VLOOKUP(D175,'Código Tambos'!$B$2:$C$6,2,TRUE),0)</f>
        <v>Don Enrique (Amalina)</v>
      </c>
      <c r="F175" s="18">
        <v>8730</v>
      </c>
      <c r="G175" s="46"/>
      <c r="H175" s="46"/>
      <c r="I175" s="18">
        <v>3.2</v>
      </c>
      <c r="J175" s="18"/>
      <c r="K175" s="64"/>
    </row>
    <row r="176" spans="2:11" x14ac:dyDescent="0.3">
      <c r="B176" s="7">
        <v>45845</v>
      </c>
      <c r="C176" s="19" t="s">
        <v>66</v>
      </c>
      <c r="D176" s="147">
        <v>13</v>
      </c>
      <c r="E176" s="8" t="str">
        <f>+IF(D176&gt;0,VLOOKUP(D176,'Código Tambos'!$B$2:$C$6,2,TRUE),0)</f>
        <v>Estancia Aleluya</v>
      </c>
      <c r="F176" s="8">
        <v>9749</v>
      </c>
      <c r="G176" s="47">
        <v>28060</v>
      </c>
      <c r="H176" s="47">
        <f>+G176-SUM(F176:F178)</f>
        <v>-31</v>
      </c>
      <c r="I176" s="8">
        <v>4.8</v>
      </c>
      <c r="J176" s="8"/>
      <c r="K176" s="8"/>
    </row>
    <row r="177" spans="2:11" x14ac:dyDescent="0.3">
      <c r="B177" s="9">
        <v>45845</v>
      </c>
      <c r="C177" s="20" t="s">
        <v>66</v>
      </c>
      <c r="D177" s="148">
        <v>10</v>
      </c>
      <c r="E177" s="10" t="str">
        <f>+IF(D177&gt;0,VLOOKUP(D177,'Código Tambos'!$B$2:$C$6,2,TRUE),0)</f>
        <v>Huaca Hue</v>
      </c>
      <c r="F177" s="10">
        <v>9515</v>
      </c>
      <c r="G177" s="48"/>
      <c r="H177" s="48"/>
      <c r="I177" s="10">
        <v>3.1</v>
      </c>
      <c r="J177" s="10"/>
      <c r="K177" s="10"/>
    </row>
    <row r="178" spans="2:11" x14ac:dyDescent="0.3">
      <c r="B178" s="11">
        <v>45845</v>
      </c>
      <c r="C178" s="26" t="s">
        <v>66</v>
      </c>
      <c r="D178" s="149">
        <v>11</v>
      </c>
      <c r="E178" s="12" t="str">
        <f>+IF(D178&gt;0,VLOOKUP(D178,'Código Tambos'!$B$2:$C$6,2,TRUE),0)</f>
        <v>Don Enrique (Amalina)</v>
      </c>
      <c r="F178" s="12">
        <v>8827</v>
      </c>
      <c r="G178" s="49"/>
      <c r="H178" s="49"/>
      <c r="I178" s="12">
        <v>4.5999999999999996</v>
      </c>
      <c r="J178" s="12"/>
      <c r="K178" s="12"/>
    </row>
    <row r="179" spans="2:11" x14ac:dyDescent="0.3">
      <c r="B179" s="13">
        <v>45851</v>
      </c>
      <c r="C179" s="34" t="s">
        <v>67</v>
      </c>
      <c r="D179" s="150">
        <v>13</v>
      </c>
      <c r="E179" s="14" t="str">
        <f>+IF(D179&gt;0,VLOOKUP(D179,'Código Tambos'!$B$2:$C$6,2,TRUE),0)</f>
        <v>Estancia Aleluya</v>
      </c>
      <c r="F179" s="14">
        <v>9278</v>
      </c>
      <c r="G179" s="44">
        <v>27532</v>
      </c>
      <c r="H179" s="65">
        <f>+G179-SUM(F179:F181)</f>
        <v>50</v>
      </c>
      <c r="I179" s="14">
        <v>4.9000000000000004</v>
      </c>
      <c r="J179" s="14"/>
      <c r="K179" s="58"/>
    </row>
    <row r="180" spans="2:11" x14ac:dyDescent="0.3">
      <c r="B180" s="15">
        <v>45851</v>
      </c>
      <c r="C180" s="35" t="s">
        <v>67</v>
      </c>
      <c r="D180" s="151">
        <v>10</v>
      </c>
      <c r="E180" s="16" t="str">
        <f>+IF(D180&gt;0,VLOOKUP(D180,'Código Tambos'!$B$2:$C$6,2,TRUE),0)</f>
        <v>Huaca Hue</v>
      </c>
      <c r="F180" s="16">
        <v>8784</v>
      </c>
      <c r="G180" s="45"/>
      <c r="H180" s="45"/>
      <c r="I180" s="16">
        <v>2.5</v>
      </c>
      <c r="J180" s="16"/>
      <c r="K180" s="60"/>
    </row>
    <row r="181" spans="2:11" x14ac:dyDescent="0.3">
      <c r="B181" s="17">
        <v>45851</v>
      </c>
      <c r="C181" s="36" t="s">
        <v>67</v>
      </c>
      <c r="D181" s="152">
        <v>11</v>
      </c>
      <c r="E181" s="18" t="str">
        <f>+IF(D181&gt;0,VLOOKUP(D181,'Código Tambos'!$B$2:$C$6,2,TRUE),0)</f>
        <v>Don Enrique (Amalina)</v>
      </c>
      <c r="F181" s="18">
        <v>9420</v>
      </c>
      <c r="G181" s="46"/>
      <c r="H181" s="46"/>
      <c r="I181" s="18">
        <v>3.8</v>
      </c>
      <c r="J181" s="18"/>
      <c r="K181" s="64"/>
    </row>
    <row r="182" spans="2:11" x14ac:dyDescent="0.3">
      <c r="B182" s="7">
        <v>45852</v>
      </c>
      <c r="C182" s="19" t="s">
        <v>68</v>
      </c>
      <c r="D182" s="147">
        <v>13</v>
      </c>
      <c r="E182" s="8" t="str">
        <f>+IF(D182&gt;0,VLOOKUP(D182,'Código Tambos'!$B$2:$C$6,2,TRUE),0)</f>
        <v>Estancia Aleluya</v>
      </c>
      <c r="F182" s="8">
        <v>9371</v>
      </c>
      <c r="G182" s="47">
        <v>27338</v>
      </c>
      <c r="H182" s="47">
        <f>+G182-SUM(F182:F184)</f>
        <v>-8</v>
      </c>
      <c r="I182" s="8">
        <v>4.9000000000000004</v>
      </c>
      <c r="J182" s="8"/>
      <c r="K182" s="8"/>
    </row>
    <row r="183" spans="2:11" x14ac:dyDescent="0.3">
      <c r="B183" s="9">
        <v>45852</v>
      </c>
      <c r="C183" s="20" t="s">
        <v>68</v>
      </c>
      <c r="D183" s="148">
        <v>10</v>
      </c>
      <c r="E183" s="10" t="str">
        <f>+IF(D183&gt;0,VLOOKUP(D183,'Código Tambos'!$B$2:$C$6,2,TRUE),0)</f>
        <v>Huaca Hue</v>
      </c>
      <c r="F183" s="10">
        <v>8899</v>
      </c>
      <c r="G183" s="48"/>
      <c r="H183" s="48"/>
      <c r="I183" s="10">
        <v>2.2999999999999998</v>
      </c>
      <c r="J183" s="10"/>
      <c r="K183" s="10"/>
    </row>
    <row r="184" spans="2:11" x14ac:dyDescent="0.3">
      <c r="B184" s="11">
        <v>45852</v>
      </c>
      <c r="C184" s="26" t="s">
        <v>68</v>
      </c>
      <c r="D184" s="149">
        <v>11</v>
      </c>
      <c r="E184" s="12" t="str">
        <f>+IF(D184&gt;0,VLOOKUP(D184,'Código Tambos'!$B$2:$C$6,2,TRUE),0)</f>
        <v>Don Enrique (Amalina)</v>
      </c>
      <c r="F184" s="12">
        <v>9076</v>
      </c>
      <c r="G184" s="49"/>
      <c r="H184" s="49"/>
      <c r="I184" s="12">
        <v>4.9000000000000004</v>
      </c>
      <c r="J184" s="12"/>
      <c r="K184" s="12"/>
    </row>
    <row r="185" spans="2:11" x14ac:dyDescent="0.3">
      <c r="B185" s="13">
        <v>45853</v>
      </c>
      <c r="C185" s="34" t="s">
        <v>69</v>
      </c>
      <c r="D185" s="150">
        <v>13</v>
      </c>
      <c r="E185" s="14" t="str">
        <f>+IF(D185&gt;0,VLOOKUP(D185,'Código Tambos'!$B$2:$C$6,2,TRUE),0)</f>
        <v>Estancia Aleluya</v>
      </c>
      <c r="F185" s="14">
        <v>9234</v>
      </c>
      <c r="G185" s="44">
        <v>27436</v>
      </c>
      <c r="H185" s="65">
        <f>+G185-SUM(F185:F187)</f>
        <v>48</v>
      </c>
      <c r="I185" s="14">
        <v>4.8</v>
      </c>
      <c r="J185" s="14"/>
      <c r="K185" s="58"/>
    </row>
    <row r="186" spans="2:11" x14ac:dyDescent="0.3">
      <c r="B186" s="15">
        <v>45853</v>
      </c>
      <c r="C186" s="35" t="s">
        <v>69</v>
      </c>
      <c r="D186" s="151">
        <v>10</v>
      </c>
      <c r="E186" s="16" t="str">
        <f>+IF(D186&gt;0,VLOOKUP(D186,'Código Tambos'!$B$2:$C$6,2,TRUE),0)</f>
        <v>Huaca Hue</v>
      </c>
      <c r="F186" s="16">
        <v>9074</v>
      </c>
      <c r="G186" s="45"/>
      <c r="H186" s="45"/>
      <c r="I186" s="16">
        <v>2.2999999999999998</v>
      </c>
      <c r="J186" s="16"/>
      <c r="K186" s="60"/>
    </row>
    <row r="187" spans="2:11" x14ac:dyDescent="0.3">
      <c r="B187" s="17">
        <v>45853</v>
      </c>
      <c r="C187" s="36" t="s">
        <v>69</v>
      </c>
      <c r="D187" s="152">
        <v>11</v>
      </c>
      <c r="E187" s="18" t="str">
        <f>+IF(D187&gt;0,VLOOKUP(D187,'Código Tambos'!$B$2:$C$6,2,TRUE),0)</f>
        <v>Don Enrique (Amalina)</v>
      </c>
      <c r="F187" s="18">
        <v>9080</v>
      </c>
      <c r="G187" s="46"/>
      <c r="H187" s="46"/>
      <c r="I187" s="18">
        <v>3.8</v>
      </c>
      <c r="J187" s="18"/>
      <c r="K187" s="64"/>
    </row>
    <row r="188" spans="2:11" x14ac:dyDescent="0.3">
      <c r="B188" s="7">
        <v>45865</v>
      </c>
      <c r="C188" s="19" t="s">
        <v>70</v>
      </c>
      <c r="D188" s="147">
        <v>13</v>
      </c>
      <c r="E188" s="8" t="str">
        <f>+IF(D188&gt;0,VLOOKUP(D188,'Código Tambos'!$B$2:$C$6,2,TRUE),0)</f>
        <v>Estancia Aleluya</v>
      </c>
      <c r="F188" s="8">
        <v>9921</v>
      </c>
      <c r="G188" s="47">
        <v>28302</v>
      </c>
      <c r="H188" s="47">
        <f>+G188-SUM(F188:F190)</f>
        <v>-7</v>
      </c>
      <c r="I188" s="8">
        <v>4.8</v>
      </c>
      <c r="J188" s="8"/>
      <c r="K188" s="8"/>
    </row>
    <row r="189" spans="2:11" x14ac:dyDescent="0.3">
      <c r="B189" s="9">
        <v>45865</v>
      </c>
      <c r="C189" s="20" t="s">
        <v>70</v>
      </c>
      <c r="D189" s="148">
        <v>10</v>
      </c>
      <c r="E189" s="10" t="str">
        <f>+IF(D189&gt;0,VLOOKUP(D189,'Código Tambos'!$B$2:$C$6,2,TRUE),0)</f>
        <v>Huaca Hue</v>
      </c>
      <c r="F189" s="10">
        <v>8852</v>
      </c>
      <c r="G189" s="48"/>
      <c r="H189" s="48"/>
      <c r="I189" s="10">
        <v>4.8</v>
      </c>
      <c r="J189" s="10"/>
      <c r="K189" s="10"/>
    </row>
    <row r="190" spans="2:11" x14ac:dyDescent="0.3">
      <c r="B190" s="11">
        <v>45865</v>
      </c>
      <c r="C190" s="26" t="s">
        <v>70</v>
      </c>
      <c r="D190" s="149">
        <v>11</v>
      </c>
      <c r="E190" s="12" t="str">
        <f>+IF(D190&gt;0,VLOOKUP(D190,'Código Tambos'!$B$2:$C$6,2,TRUE),0)</f>
        <v>Don Enrique (Amalina)</v>
      </c>
      <c r="F190" s="12">
        <v>9536</v>
      </c>
      <c r="G190" s="49"/>
      <c r="H190" s="49"/>
      <c r="I190" s="12">
        <v>3.6</v>
      </c>
      <c r="J190" s="12"/>
      <c r="K190" s="12"/>
    </row>
    <row r="191" spans="2:11" x14ac:dyDescent="0.3">
      <c r="B191" s="13">
        <v>45866</v>
      </c>
      <c r="C191" s="34" t="s">
        <v>71</v>
      </c>
      <c r="D191" s="150">
        <v>13</v>
      </c>
      <c r="E191" s="14" t="str">
        <f>+IF(D191&gt;0,VLOOKUP(D191,'Código Tambos'!$B$2:$C$6,2,TRUE),0)</f>
        <v>Estancia Aleluya</v>
      </c>
      <c r="F191" s="14">
        <v>9233</v>
      </c>
      <c r="G191" s="44">
        <v>28524</v>
      </c>
      <c r="H191" s="65">
        <f>+G191-SUM(F191:F193)</f>
        <v>-62</v>
      </c>
      <c r="I191" s="14">
        <v>4.9000000000000004</v>
      </c>
      <c r="J191" s="14"/>
      <c r="K191" s="58"/>
    </row>
    <row r="192" spans="2:11" x14ac:dyDescent="0.3">
      <c r="B192" s="15">
        <v>45866</v>
      </c>
      <c r="C192" s="35" t="s">
        <v>71</v>
      </c>
      <c r="D192" s="151">
        <v>10</v>
      </c>
      <c r="E192" s="16" t="str">
        <f>+IF(D192&gt;0,VLOOKUP(D192,'Código Tambos'!$B$2:$C$6,2,TRUE),0)</f>
        <v>Huaca Hue</v>
      </c>
      <c r="F192" s="16">
        <v>9135</v>
      </c>
      <c r="G192" s="45"/>
      <c r="H192" s="45"/>
      <c r="I192" s="16">
        <v>4.5999999999999996</v>
      </c>
      <c r="J192" s="16"/>
      <c r="K192" s="60"/>
    </row>
    <row r="193" spans="2:11" x14ac:dyDescent="0.3">
      <c r="B193" s="17">
        <v>45866</v>
      </c>
      <c r="C193" s="36" t="s">
        <v>71</v>
      </c>
      <c r="D193" s="152">
        <v>11</v>
      </c>
      <c r="E193" s="18" t="str">
        <f>+IF(D193&gt;0,VLOOKUP(D193,'Código Tambos'!$B$2:$C$6,2,TRUE),0)</f>
        <v>Don Enrique (Amalina)</v>
      </c>
      <c r="F193" s="18">
        <v>10218</v>
      </c>
      <c r="G193" s="46"/>
      <c r="H193" s="46"/>
      <c r="I193" s="18">
        <v>3.8</v>
      </c>
      <c r="J193" s="18"/>
      <c r="K193" s="64"/>
    </row>
    <row r="194" spans="2:11" x14ac:dyDescent="0.3">
      <c r="B194" s="7">
        <v>45867</v>
      </c>
      <c r="C194" s="19" t="s">
        <v>72</v>
      </c>
      <c r="D194" s="147">
        <v>10</v>
      </c>
      <c r="E194" s="8" t="str">
        <f>+IF(D194&gt;0,VLOOKUP(D194,'Código Tambos'!$B$2:$C$6,2,TRUE),0)</f>
        <v>Huaca Hue</v>
      </c>
      <c r="F194" s="8">
        <v>9078</v>
      </c>
      <c r="G194" s="47">
        <v>28600</v>
      </c>
      <c r="H194" s="47">
        <f>+G194-SUM(F194:F196)</f>
        <v>-276</v>
      </c>
      <c r="I194" s="8">
        <v>4.7</v>
      </c>
      <c r="J194" s="8"/>
      <c r="K194" s="8"/>
    </row>
    <row r="195" spans="2:11" x14ac:dyDescent="0.3">
      <c r="B195" s="9">
        <v>45867</v>
      </c>
      <c r="C195" s="20" t="s">
        <v>72</v>
      </c>
      <c r="D195" s="148">
        <v>11</v>
      </c>
      <c r="E195" s="10" t="str">
        <f>+IF(D195&gt;0,VLOOKUP(D195,'Código Tambos'!$B$2:$C$6,2,TRUE),0)</f>
        <v>Don Enrique (Amalina)</v>
      </c>
      <c r="F195" s="10">
        <v>10133</v>
      </c>
      <c r="G195" s="48"/>
      <c r="H195" s="48"/>
      <c r="I195" s="10">
        <v>4.3</v>
      </c>
      <c r="J195" s="10"/>
      <c r="K195" s="10"/>
    </row>
    <row r="196" spans="2:11" x14ac:dyDescent="0.3">
      <c r="B196" s="11">
        <v>45867</v>
      </c>
      <c r="C196" s="26" t="s">
        <v>72</v>
      </c>
      <c r="D196" s="149">
        <v>13</v>
      </c>
      <c r="E196" s="12" t="str">
        <f>+IF(D196&gt;0,VLOOKUP(D196,'Código Tambos'!$B$2:$C$6,2,TRUE),0)</f>
        <v>Estancia Aleluya</v>
      </c>
      <c r="F196" s="12">
        <v>9665</v>
      </c>
      <c r="G196" s="49"/>
      <c r="H196" s="49"/>
      <c r="I196" s="12">
        <v>3.8</v>
      </c>
      <c r="J196" s="12"/>
      <c r="K196" s="12"/>
    </row>
    <row r="197" spans="2:11" x14ac:dyDescent="0.3">
      <c r="B197" s="13">
        <v>45881</v>
      </c>
      <c r="C197" s="34" t="s">
        <v>73</v>
      </c>
      <c r="D197" s="150">
        <v>10</v>
      </c>
      <c r="E197" s="14" t="str">
        <f>+IF(D197&gt;0,VLOOKUP(D197,'Código Tambos'!$B$2:$C$6,2,TRUE),0)</f>
        <v>Huaca Hue</v>
      </c>
      <c r="F197" s="14">
        <v>9397</v>
      </c>
      <c r="G197" s="44">
        <v>28338</v>
      </c>
      <c r="H197" s="65">
        <f>+G197-SUM(F197:F199)</f>
        <v>-214</v>
      </c>
      <c r="I197" s="14">
        <v>4.0999999999999996</v>
      </c>
      <c r="J197" s="14"/>
      <c r="K197" s="58"/>
    </row>
    <row r="198" spans="2:11" x14ac:dyDescent="0.3">
      <c r="B198" s="15">
        <v>45881</v>
      </c>
      <c r="C198" s="35" t="s">
        <v>73</v>
      </c>
      <c r="D198" s="151">
        <v>11</v>
      </c>
      <c r="E198" s="16" t="str">
        <f>+IF(D198&gt;0,VLOOKUP(D198,'Código Tambos'!$B$2:$C$6,2,TRUE),0)</f>
        <v>Don Enrique (Amalina)</v>
      </c>
      <c r="F198" s="16">
        <v>9240</v>
      </c>
      <c r="G198" s="45"/>
      <c r="H198" s="45"/>
      <c r="I198" s="16">
        <v>6.9</v>
      </c>
      <c r="J198" s="16"/>
      <c r="K198" s="60"/>
    </row>
    <row r="199" spans="2:11" x14ac:dyDescent="0.3">
      <c r="B199" s="17">
        <v>45881</v>
      </c>
      <c r="C199" s="36" t="s">
        <v>73</v>
      </c>
      <c r="D199" s="152">
        <v>13</v>
      </c>
      <c r="E199" s="18" t="str">
        <f>+IF(D199&gt;0,VLOOKUP(D199,'Código Tambos'!$B$2:$C$6,2,TRUE),0)</f>
        <v>Estancia Aleluya</v>
      </c>
      <c r="F199" s="18">
        <v>9915</v>
      </c>
      <c r="G199" s="46"/>
      <c r="H199" s="46"/>
      <c r="I199" s="18">
        <v>3.9</v>
      </c>
      <c r="J199" s="18"/>
      <c r="K199" s="64"/>
    </row>
    <row r="200" spans="2:11" x14ac:dyDescent="0.3">
      <c r="B200" s="7">
        <v>45882</v>
      </c>
      <c r="C200" s="19" t="s">
        <v>74</v>
      </c>
      <c r="D200" s="147">
        <v>10</v>
      </c>
      <c r="E200" s="8" t="str">
        <f>+IF(D200&gt;0,VLOOKUP(D200,'Código Tambos'!$B$2:$C$6,2,TRUE),0)</f>
        <v>Huaca Hue</v>
      </c>
      <c r="F200" s="8">
        <v>9201</v>
      </c>
      <c r="G200" s="47">
        <v>28394</v>
      </c>
      <c r="H200" s="47">
        <f>+G200-SUM(F200:F202)</f>
        <v>138</v>
      </c>
      <c r="I200" s="8">
        <v>4.2</v>
      </c>
      <c r="J200" s="8"/>
      <c r="K200" s="8"/>
    </row>
    <row r="201" spans="2:11" x14ac:dyDescent="0.3">
      <c r="B201" s="9">
        <v>45882</v>
      </c>
      <c r="C201" s="20" t="s">
        <v>74</v>
      </c>
      <c r="D201" s="148">
        <v>11</v>
      </c>
      <c r="E201" s="10" t="str">
        <f>+IF(D201&gt;0,VLOOKUP(D201,'Código Tambos'!$B$2:$C$6,2,TRUE),0)</f>
        <v>Don Enrique (Amalina)</v>
      </c>
      <c r="F201" s="10">
        <v>8662</v>
      </c>
      <c r="G201" s="48"/>
      <c r="H201" s="48"/>
      <c r="I201" s="10">
        <v>5</v>
      </c>
      <c r="J201" s="10"/>
      <c r="K201" s="10"/>
    </row>
    <row r="202" spans="2:11" x14ac:dyDescent="0.3">
      <c r="B202" s="11">
        <v>45882</v>
      </c>
      <c r="C202" s="26" t="s">
        <v>74</v>
      </c>
      <c r="D202" s="149">
        <v>13</v>
      </c>
      <c r="E202" s="12" t="str">
        <f>+IF(D202&gt;0,VLOOKUP(D202,'Código Tambos'!$B$2:$C$6,2,TRUE),0)</f>
        <v>Estancia Aleluya</v>
      </c>
      <c r="F202" s="12">
        <v>10393</v>
      </c>
      <c r="G202" s="49"/>
      <c r="H202" s="49"/>
      <c r="I202" s="12">
        <v>3.8</v>
      </c>
      <c r="J202" s="12"/>
      <c r="K202" s="12"/>
    </row>
    <row r="203" spans="2:11" x14ac:dyDescent="0.3">
      <c r="B203" s="13">
        <v>45893</v>
      </c>
      <c r="C203" s="34" t="s">
        <v>75</v>
      </c>
      <c r="D203" s="150">
        <v>10</v>
      </c>
      <c r="E203" s="14" t="str">
        <f>+IF(D203&gt;0,VLOOKUP(D203,'Código Tambos'!$B$2:$C$6,2,TRUE),0)</f>
        <v>Huaca Hue</v>
      </c>
      <c r="F203" s="14">
        <v>9897</v>
      </c>
      <c r="G203" s="44">
        <v>27378</v>
      </c>
      <c r="H203" s="44">
        <f>+G203-SUM(F203:F205)</f>
        <v>1118</v>
      </c>
      <c r="I203" s="14">
        <v>4.5</v>
      </c>
      <c r="J203" s="14"/>
      <c r="K203" s="58"/>
    </row>
    <row r="204" spans="2:11" x14ac:dyDescent="0.3">
      <c r="B204" s="15">
        <v>45893</v>
      </c>
      <c r="C204" s="35" t="s">
        <v>75</v>
      </c>
      <c r="D204" s="151">
        <v>11</v>
      </c>
      <c r="E204" s="16" t="str">
        <f>+IF(D204&gt;0,VLOOKUP(D204,'Código Tambos'!$B$2:$C$6,2,TRUE),0)</f>
        <v>Don Enrique (Amalina)</v>
      </c>
      <c r="F204" s="16">
        <v>9443</v>
      </c>
      <c r="G204" s="45"/>
      <c r="H204" s="45"/>
      <c r="I204" s="16">
        <v>4.5999999999999996</v>
      </c>
      <c r="J204" s="16"/>
      <c r="K204" s="60"/>
    </row>
    <row r="205" spans="2:11" x14ac:dyDescent="0.3">
      <c r="B205" s="17">
        <v>45893</v>
      </c>
      <c r="C205" s="36" t="s">
        <v>75</v>
      </c>
      <c r="D205" s="152">
        <v>13</v>
      </c>
      <c r="E205" s="18" t="str">
        <f>+IF(D205&gt;0,VLOOKUP(D205,'Código Tambos'!$B$2:$C$6,2,TRUE),0)</f>
        <v>Estancia Aleluya</v>
      </c>
      <c r="F205" s="18">
        <v>6920</v>
      </c>
      <c r="G205" s="46"/>
      <c r="H205" s="46"/>
      <c r="I205" s="18">
        <v>4.0999999999999996</v>
      </c>
      <c r="J205" s="18"/>
      <c r="K205" s="64"/>
    </row>
    <row r="206" spans="2:11" x14ac:dyDescent="0.3">
      <c r="B206" s="7">
        <v>45894</v>
      </c>
      <c r="C206" s="19" t="s">
        <v>76</v>
      </c>
      <c r="D206" s="147">
        <v>10</v>
      </c>
      <c r="E206" s="8" t="str">
        <f>+IF(D206&gt;0,VLOOKUP(D206,'Código Tambos'!$B$2:$C$6,2,TRUE),0)</f>
        <v>Huaca Hue</v>
      </c>
      <c r="F206" s="8">
        <v>9676</v>
      </c>
      <c r="G206" s="47">
        <v>27196</v>
      </c>
      <c r="H206" s="47">
        <f>+G206-SUM(F206:F208)</f>
        <v>26</v>
      </c>
      <c r="I206" s="8">
        <v>4.5</v>
      </c>
      <c r="J206" s="8"/>
      <c r="K206" s="8"/>
    </row>
    <row r="207" spans="2:11" x14ac:dyDescent="0.3">
      <c r="B207" s="9">
        <v>45894</v>
      </c>
      <c r="C207" s="20" t="s">
        <v>76</v>
      </c>
      <c r="D207" s="148">
        <v>11</v>
      </c>
      <c r="E207" s="10" t="str">
        <f>+IF(D207&gt;0,VLOOKUP(D207,'Código Tambos'!$B$2:$C$6,2,TRUE),0)</f>
        <v>Don Enrique (Amalina)</v>
      </c>
      <c r="F207" s="10">
        <v>9983</v>
      </c>
      <c r="G207" s="48"/>
      <c r="H207" s="48"/>
      <c r="I207" s="10">
        <v>4.9000000000000004</v>
      </c>
      <c r="J207" s="10"/>
      <c r="K207" s="10"/>
    </row>
    <row r="208" spans="2:11" x14ac:dyDescent="0.3">
      <c r="B208" s="11">
        <v>45894</v>
      </c>
      <c r="C208" s="26" t="s">
        <v>76</v>
      </c>
      <c r="D208" s="149">
        <v>13</v>
      </c>
      <c r="E208" s="12" t="str">
        <f>+IF(D208&gt;0,VLOOKUP(D208,'Código Tambos'!$B$2:$C$6,2,TRUE),0)</f>
        <v>Estancia Aleluya</v>
      </c>
      <c r="F208" s="12">
        <v>7511</v>
      </c>
      <c r="G208" s="49"/>
      <c r="H208" s="49"/>
      <c r="I208" s="12">
        <v>4.2</v>
      </c>
      <c r="J208" s="12"/>
      <c r="K208" s="12"/>
    </row>
    <row r="209" spans="2:11" x14ac:dyDescent="0.3">
      <c r="B209" s="13">
        <v>45895</v>
      </c>
      <c r="C209" s="34" t="s">
        <v>77</v>
      </c>
      <c r="D209" s="150">
        <v>10</v>
      </c>
      <c r="E209" s="14" t="str">
        <f>+IF(D209&gt;0,VLOOKUP(D209,'Código Tambos'!$B$2:$C$6,2,TRUE),0)</f>
        <v>Huaca Hue</v>
      </c>
      <c r="F209" s="14">
        <v>9667</v>
      </c>
      <c r="G209" s="44">
        <v>26914</v>
      </c>
      <c r="H209" s="65">
        <f>+G209-SUM(F209:F211)</f>
        <v>-457</v>
      </c>
      <c r="I209" s="14">
        <v>4.4000000000000004</v>
      </c>
      <c r="J209" s="14"/>
      <c r="K209" s="58"/>
    </row>
    <row r="210" spans="2:11" x14ac:dyDescent="0.3">
      <c r="B210" s="15">
        <v>45895</v>
      </c>
      <c r="C210" s="35" t="s">
        <v>77</v>
      </c>
      <c r="D210" s="151">
        <v>11</v>
      </c>
      <c r="E210" s="16" t="str">
        <f>+IF(D210&gt;0,VLOOKUP(D210,'Código Tambos'!$B$2:$C$6,2,TRUE),0)</f>
        <v>Don Enrique (Amalina)</v>
      </c>
      <c r="F210" s="16">
        <v>9952</v>
      </c>
      <c r="G210" s="45"/>
      <c r="H210" s="45"/>
      <c r="I210" s="16">
        <v>4.9000000000000004</v>
      </c>
      <c r="J210" s="16"/>
      <c r="K210" s="60"/>
    </row>
    <row r="211" spans="2:11" x14ac:dyDescent="0.3">
      <c r="B211" s="17">
        <v>45895</v>
      </c>
      <c r="C211" s="36" t="s">
        <v>77</v>
      </c>
      <c r="D211" s="152">
        <v>13</v>
      </c>
      <c r="E211" s="18" t="str">
        <f>+IF(D211&gt;0,VLOOKUP(D211,'Código Tambos'!$B$2:$C$6,2,TRUE),0)</f>
        <v>Estancia Aleluya</v>
      </c>
      <c r="F211" s="18">
        <v>7752</v>
      </c>
      <c r="G211" s="46"/>
      <c r="H211" s="46"/>
      <c r="I211" s="18">
        <v>4.3</v>
      </c>
      <c r="J211" s="18"/>
      <c r="K211" s="64"/>
    </row>
    <row r="212" spans="2:11" x14ac:dyDescent="0.3">
      <c r="B212" s="7">
        <v>45896</v>
      </c>
      <c r="C212" s="19" t="s">
        <v>78</v>
      </c>
      <c r="D212" s="147">
        <v>10</v>
      </c>
      <c r="E212" s="8" t="str">
        <f>+IF(D212&gt;0,VLOOKUP(D212,'Código Tambos'!$B$2:$C$6,2,TRUE),0)</f>
        <v>Huaca Hue</v>
      </c>
      <c r="F212" s="8">
        <v>9915</v>
      </c>
      <c r="G212" s="47">
        <v>27490</v>
      </c>
      <c r="H212" s="47">
        <f>+G212-SUM(F212:F214)</f>
        <v>151</v>
      </c>
      <c r="I212" s="8">
        <v>4.4000000000000004</v>
      </c>
      <c r="J212" s="8"/>
      <c r="K212" s="8"/>
    </row>
    <row r="213" spans="2:11" x14ac:dyDescent="0.3">
      <c r="B213" s="9">
        <v>45896</v>
      </c>
      <c r="C213" s="20" t="s">
        <v>78</v>
      </c>
      <c r="D213" s="148">
        <v>11</v>
      </c>
      <c r="E213" s="10" t="str">
        <f>+IF(D213&gt;0,VLOOKUP(D213,'Código Tambos'!$B$2:$C$6,2,TRUE),0)</f>
        <v>Don Enrique (Amalina)</v>
      </c>
      <c r="F213" s="10">
        <v>9817</v>
      </c>
      <c r="G213" s="48"/>
      <c r="H213" s="48"/>
      <c r="I213" s="10">
        <v>4.9000000000000004</v>
      </c>
      <c r="J213" s="10"/>
      <c r="K213" s="10"/>
    </row>
    <row r="214" spans="2:11" x14ac:dyDescent="0.3">
      <c r="B214" s="11">
        <v>45896</v>
      </c>
      <c r="C214" s="26" t="s">
        <v>78</v>
      </c>
      <c r="D214" s="149">
        <v>13</v>
      </c>
      <c r="E214" s="12" t="str">
        <f>+IF(D214&gt;0,VLOOKUP(D214,'Código Tambos'!$B$2:$C$6,2,TRUE),0)</f>
        <v>Estancia Aleluya</v>
      </c>
      <c r="F214" s="12">
        <v>7607</v>
      </c>
      <c r="G214" s="49"/>
      <c r="H214" s="49"/>
      <c r="I214" s="12">
        <v>4.0999999999999996</v>
      </c>
      <c r="J214" s="12"/>
      <c r="K214" s="12"/>
    </row>
    <row r="215" spans="2:11" x14ac:dyDescent="0.3">
      <c r="B215" s="13">
        <v>45900</v>
      </c>
      <c r="C215" s="34" t="s">
        <v>79</v>
      </c>
      <c r="D215" s="150">
        <v>10</v>
      </c>
      <c r="E215" s="14" t="str">
        <f>+IF(D215&gt;0,VLOOKUP(D215,'Código Tambos'!$B$2:$C$6,2,TRUE),0)</f>
        <v>Huaca Hue</v>
      </c>
      <c r="F215" s="14">
        <v>9970</v>
      </c>
      <c r="G215" s="44">
        <v>27118</v>
      </c>
      <c r="H215" s="65">
        <f>+G215-SUM(F215:F217)</f>
        <v>179</v>
      </c>
      <c r="I215" s="14">
        <v>4.5</v>
      </c>
      <c r="J215" s="14"/>
      <c r="K215" s="58"/>
    </row>
    <row r="216" spans="2:11" x14ac:dyDescent="0.3">
      <c r="B216" s="15">
        <v>45900</v>
      </c>
      <c r="C216" s="35" t="s">
        <v>79</v>
      </c>
      <c r="D216" s="151">
        <v>11</v>
      </c>
      <c r="E216" s="16" t="str">
        <f>+IF(D216&gt;0,VLOOKUP(D216,'Código Tambos'!$B$2:$C$6,2,TRUE),0)</f>
        <v>Don Enrique (Amalina)</v>
      </c>
      <c r="F216" s="16">
        <v>9943</v>
      </c>
      <c r="G216" s="45"/>
      <c r="H216" s="45"/>
      <c r="I216" s="16">
        <v>4</v>
      </c>
      <c r="J216" s="16"/>
      <c r="K216" s="60"/>
    </row>
    <row r="217" spans="2:11" x14ac:dyDescent="0.3">
      <c r="B217" s="17">
        <v>45900</v>
      </c>
      <c r="C217" s="36" t="s">
        <v>79</v>
      </c>
      <c r="D217" s="152">
        <v>13</v>
      </c>
      <c r="E217" s="18" t="str">
        <f>+IF(D217&gt;0,VLOOKUP(D217,'Código Tambos'!$B$2:$C$6,2,TRUE),0)</f>
        <v>Estancia Aleluya</v>
      </c>
      <c r="F217" s="18">
        <v>7026</v>
      </c>
      <c r="G217" s="46"/>
      <c r="H217" s="46"/>
      <c r="I217" s="18">
        <v>4.0999999999999996</v>
      </c>
      <c r="J217" s="18"/>
      <c r="K217" s="64"/>
    </row>
    <row r="218" spans="2:11" x14ac:dyDescent="0.3">
      <c r="B218" s="7">
        <v>45901</v>
      </c>
      <c r="C218" s="19" t="s">
        <v>80</v>
      </c>
      <c r="D218" s="147">
        <v>10</v>
      </c>
      <c r="E218" s="8" t="str">
        <f>+IF(D218&gt;0,VLOOKUP(D218,'Código Tambos'!$B$2:$C$6,2,TRUE),0)</f>
        <v>Huaca Hue</v>
      </c>
      <c r="F218" s="8">
        <v>10143</v>
      </c>
      <c r="G218" s="47">
        <v>27864</v>
      </c>
      <c r="H218" s="47">
        <f>+G218-SUM(F218:F220)</f>
        <v>-115</v>
      </c>
      <c r="I218" s="8">
        <v>4.4000000000000004</v>
      </c>
      <c r="J218" s="8"/>
      <c r="K218" s="8"/>
    </row>
    <row r="219" spans="2:11" x14ac:dyDescent="0.3">
      <c r="B219" s="9">
        <v>45901</v>
      </c>
      <c r="C219" s="20" t="s">
        <v>80</v>
      </c>
      <c r="D219" s="148">
        <v>11</v>
      </c>
      <c r="E219" s="10" t="str">
        <f>+IF(D219&gt;0,VLOOKUP(D219,'Código Tambos'!$B$2:$C$6,2,TRUE),0)</f>
        <v>Don Enrique (Amalina)</v>
      </c>
      <c r="F219" s="10">
        <v>9648</v>
      </c>
      <c r="G219" s="48"/>
      <c r="H219" s="48"/>
      <c r="I219" s="10">
        <v>4.8</v>
      </c>
      <c r="J219" s="10"/>
      <c r="K219" s="10"/>
    </row>
    <row r="220" spans="2:11" x14ac:dyDescent="0.3">
      <c r="B220" s="11">
        <v>45901</v>
      </c>
      <c r="C220" s="26" t="s">
        <v>80</v>
      </c>
      <c r="D220" s="149">
        <v>13</v>
      </c>
      <c r="E220" s="12" t="str">
        <f>+IF(D220&gt;0,VLOOKUP(D220,'Código Tambos'!$B$2:$C$6,2,TRUE),0)</f>
        <v>Estancia Aleluya</v>
      </c>
      <c r="F220" s="12">
        <v>8188</v>
      </c>
      <c r="G220" s="49"/>
      <c r="H220" s="49"/>
      <c r="I220" s="12">
        <v>4.5</v>
      </c>
      <c r="J220" s="12"/>
      <c r="K220" s="12"/>
    </row>
    <row r="221" spans="2:11" x14ac:dyDescent="0.3">
      <c r="B221" s="13">
        <v>45902</v>
      </c>
      <c r="C221" s="34" t="s">
        <v>81</v>
      </c>
      <c r="D221" s="150">
        <v>10</v>
      </c>
      <c r="E221" s="14" t="str">
        <f>+IF(D221&gt;0,VLOOKUP(D221,'Código Tambos'!$B$2:$C$6,2,TRUE),0)</f>
        <v>Huaca Hue</v>
      </c>
      <c r="F221" s="14">
        <v>9759</v>
      </c>
      <c r="G221" s="44">
        <v>28360</v>
      </c>
      <c r="H221" s="47">
        <f>+G221-SUM(F221:F223)</f>
        <v>-76</v>
      </c>
      <c r="I221" s="14">
        <v>4.4000000000000004</v>
      </c>
      <c r="J221" s="14"/>
      <c r="K221" s="58"/>
    </row>
    <row r="222" spans="2:11" x14ac:dyDescent="0.3">
      <c r="B222" s="15">
        <v>45902</v>
      </c>
      <c r="C222" s="35" t="s">
        <v>81</v>
      </c>
      <c r="D222" s="151">
        <v>11</v>
      </c>
      <c r="E222" s="16" t="str">
        <f>+IF(D222&gt;0,VLOOKUP(D222,'Código Tambos'!$B$2:$C$6,2,TRUE),0)</f>
        <v>Don Enrique (Amalina)</v>
      </c>
      <c r="F222" s="16">
        <v>9438</v>
      </c>
      <c r="G222" s="45"/>
      <c r="H222" s="45"/>
      <c r="I222" s="16">
        <v>4.8</v>
      </c>
      <c r="J222" s="16"/>
      <c r="K222" s="60"/>
    </row>
    <row r="223" spans="2:11" x14ac:dyDescent="0.3">
      <c r="B223" s="17">
        <v>45902</v>
      </c>
      <c r="C223" s="36" t="s">
        <v>81</v>
      </c>
      <c r="D223" s="152">
        <v>13</v>
      </c>
      <c r="E223" s="18" t="str">
        <f>+IF(D223&gt;0,VLOOKUP(D223,'Código Tambos'!$B$2:$C$6,2,TRUE),0)</f>
        <v>Estancia Aleluya</v>
      </c>
      <c r="F223" s="18">
        <v>9239</v>
      </c>
      <c r="G223" s="46"/>
      <c r="H223" s="46"/>
      <c r="I223" s="18">
        <v>4.4000000000000004</v>
      </c>
      <c r="J223" s="18"/>
      <c r="K223" s="64"/>
    </row>
    <row r="224" spans="2:11" x14ac:dyDescent="0.3">
      <c r="B224" s="7">
        <v>45903</v>
      </c>
      <c r="C224" s="19" t="s">
        <v>82</v>
      </c>
      <c r="D224" s="147">
        <v>10</v>
      </c>
      <c r="E224" s="8" t="str">
        <f>+IF(D224&gt;0,VLOOKUP(D224,'Código Tambos'!$B$2:$C$6,2,TRUE),0)</f>
        <v>Huaca Hue</v>
      </c>
      <c r="F224" s="8">
        <v>9906</v>
      </c>
      <c r="G224" s="47">
        <v>25496</v>
      </c>
      <c r="H224" s="47">
        <f>+G224-SUM(F224:F226)</f>
        <v>-51</v>
      </c>
      <c r="I224" s="8">
        <v>4.3</v>
      </c>
      <c r="J224" s="8"/>
      <c r="K224" s="8"/>
    </row>
    <row r="225" spans="2:11" x14ac:dyDescent="0.3">
      <c r="B225" s="9">
        <v>45903</v>
      </c>
      <c r="C225" s="20" t="s">
        <v>82</v>
      </c>
      <c r="D225" s="148">
        <v>11</v>
      </c>
      <c r="E225" s="10" t="str">
        <f>+IF(D225&gt;0,VLOOKUP(D225,'Código Tambos'!$B$2:$C$6,2,TRUE),0)</f>
        <v>Don Enrique (Amalina)</v>
      </c>
      <c r="F225" s="10">
        <v>9495</v>
      </c>
      <c r="G225" s="48"/>
      <c r="H225" s="48"/>
      <c r="I225" s="10">
        <v>4.8</v>
      </c>
      <c r="J225" s="10"/>
      <c r="K225" s="10"/>
    </row>
    <row r="226" spans="2:11" x14ac:dyDescent="0.3">
      <c r="B226" s="9">
        <v>45903</v>
      </c>
      <c r="C226" s="26" t="s">
        <v>82</v>
      </c>
      <c r="D226" s="149">
        <v>13</v>
      </c>
      <c r="E226" s="12" t="str">
        <f>+IF(D226&gt;0,VLOOKUP(D226,'Código Tambos'!$B$2:$C$6,2,TRUE),0)</f>
        <v>Estancia Aleluya</v>
      </c>
      <c r="F226" s="12">
        <v>6146</v>
      </c>
      <c r="G226" s="49"/>
      <c r="H226" s="49"/>
      <c r="I226" s="12">
        <v>4.4000000000000004</v>
      </c>
      <c r="J226" s="12"/>
      <c r="K226" s="12"/>
    </row>
    <row r="227" spans="2:11" x14ac:dyDescent="0.3">
      <c r="B227" s="13">
        <v>45908</v>
      </c>
      <c r="C227" s="34" t="s">
        <v>83</v>
      </c>
      <c r="D227" s="150">
        <v>10</v>
      </c>
      <c r="E227" s="14" t="str">
        <f>+IF(D227&gt;0,VLOOKUP(D227,'Código Tambos'!$B$2:$C$6,2,TRUE),0)</f>
        <v>Huaca Hue</v>
      </c>
      <c r="F227" s="14">
        <v>10306</v>
      </c>
      <c r="G227" s="44">
        <v>28700</v>
      </c>
      <c r="H227" s="47">
        <f>+G227-SUM(F227:F229)</f>
        <v>264</v>
      </c>
      <c r="I227" s="14">
        <v>4.8</v>
      </c>
      <c r="J227" s="14"/>
      <c r="K227" s="58"/>
    </row>
    <row r="228" spans="2:11" x14ac:dyDescent="0.3">
      <c r="B228" s="15">
        <v>45908</v>
      </c>
      <c r="C228" s="35" t="s">
        <v>83</v>
      </c>
      <c r="D228" s="151">
        <v>11</v>
      </c>
      <c r="E228" s="16" t="str">
        <f>+IF(D228&gt;0,VLOOKUP(D228,'Código Tambos'!$B$2:$C$6,2,TRUE),0)</f>
        <v>Don Enrique (Amalina)</v>
      </c>
      <c r="F228" s="16">
        <v>9562</v>
      </c>
      <c r="G228" s="45"/>
      <c r="H228" s="45"/>
      <c r="I228" s="16">
        <v>3.9</v>
      </c>
      <c r="J228" s="16"/>
      <c r="K228" s="60"/>
    </row>
    <row r="229" spans="2:11" x14ac:dyDescent="0.3">
      <c r="B229" s="15">
        <v>45908</v>
      </c>
      <c r="C229" s="36" t="s">
        <v>83</v>
      </c>
      <c r="D229" s="152">
        <v>13</v>
      </c>
      <c r="E229" s="18" t="str">
        <f>+IF(D229&gt;0,VLOOKUP(D229,'Código Tambos'!$B$2:$C$6,2,TRUE),0)</f>
        <v>Estancia Aleluya</v>
      </c>
      <c r="F229" s="18">
        <v>8568</v>
      </c>
      <c r="G229" s="46"/>
      <c r="H229" s="46"/>
      <c r="I229" s="18">
        <v>4.0999999999999996</v>
      </c>
      <c r="J229" s="18"/>
      <c r="K229" s="64"/>
    </row>
    <row r="230" spans="2:11" x14ac:dyDescent="0.3">
      <c r="B230" s="7">
        <v>45909</v>
      </c>
      <c r="C230" s="19" t="s">
        <v>84</v>
      </c>
      <c r="D230" s="147">
        <v>10</v>
      </c>
      <c r="E230" s="8" t="str">
        <f>+IF(D230&gt;0,VLOOKUP(D230,'Código Tambos'!$B$2:$C$6,2,TRUE),0)</f>
        <v>Huaca Hue</v>
      </c>
      <c r="F230" s="8">
        <v>10477</v>
      </c>
      <c r="G230" s="47">
        <v>25190</v>
      </c>
      <c r="H230" s="47">
        <f>+G230-SUM(F230:F232)</f>
        <v>137</v>
      </c>
      <c r="I230" s="8">
        <v>3.6</v>
      </c>
      <c r="J230" s="8"/>
      <c r="K230" s="8"/>
    </row>
    <row r="231" spans="2:11" x14ac:dyDescent="0.3">
      <c r="B231" s="9">
        <v>45909</v>
      </c>
      <c r="C231" s="20" t="s">
        <v>84</v>
      </c>
      <c r="D231" s="148">
        <v>11</v>
      </c>
      <c r="E231" s="10" t="str">
        <f>+IF(D231&gt;0,VLOOKUP(D231,'Código Tambos'!$B$2:$C$6,2,TRUE),0)</f>
        <v>Don Enrique (Amalina)</v>
      </c>
      <c r="F231" s="10">
        <v>8952</v>
      </c>
      <c r="G231" s="48"/>
      <c r="H231" s="48"/>
      <c r="I231" s="10">
        <v>3.2</v>
      </c>
      <c r="J231" s="10"/>
      <c r="K231" s="10"/>
    </row>
    <row r="232" spans="2:11" x14ac:dyDescent="0.3">
      <c r="B232" s="11">
        <v>45909</v>
      </c>
      <c r="C232" s="26" t="s">
        <v>84</v>
      </c>
      <c r="D232" s="149">
        <v>13</v>
      </c>
      <c r="E232" s="12" t="str">
        <f>+IF(D232&gt;0,VLOOKUP(D232,'Código Tambos'!$B$2:$C$6,2,TRUE),0)</f>
        <v>Estancia Aleluya</v>
      </c>
      <c r="F232" s="12">
        <v>5624</v>
      </c>
      <c r="G232" s="49"/>
      <c r="H232" s="49"/>
      <c r="I232" s="12">
        <v>4.2</v>
      </c>
      <c r="J232" s="12"/>
      <c r="K232" s="12"/>
    </row>
    <row r="233" spans="2:11" x14ac:dyDescent="0.3">
      <c r="B233" s="13">
        <v>45909</v>
      </c>
      <c r="C233" s="34" t="s">
        <v>86</v>
      </c>
      <c r="D233" s="150">
        <v>13</v>
      </c>
      <c r="E233" s="14" t="str">
        <f>+IF(D233&gt;0,VLOOKUP(D233,'Código Tambos'!$B$2:$C$6,2,TRUE),0)</f>
        <v>Estancia Aleluya</v>
      </c>
      <c r="F233" s="14">
        <v>6222</v>
      </c>
      <c r="G233" s="44">
        <v>5994</v>
      </c>
      <c r="H233" s="47">
        <f>+G233-SUM(F233:F233)</f>
        <v>-228</v>
      </c>
      <c r="I233" s="14">
        <v>4</v>
      </c>
      <c r="J233" s="14"/>
      <c r="K233" s="58"/>
    </row>
    <row r="234" spans="2:11" x14ac:dyDescent="0.3">
      <c r="B234" s="7">
        <v>45910</v>
      </c>
      <c r="C234" s="19" t="s">
        <v>85</v>
      </c>
      <c r="D234" s="147">
        <v>10</v>
      </c>
      <c r="E234" s="8" t="str">
        <f>+IF(D234&gt;0,VLOOKUP(D234,'Código Tambos'!$B$2:$C$6,2,TRUE),0)</f>
        <v>Huaca Hue</v>
      </c>
      <c r="F234" s="8">
        <v>10270</v>
      </c>
      <c r="G234" s="47">
        <v>28502</v>
      </c>
      <c r="H234" s="47">
        <f>+G234-SUM(F234:F236)</f>
        <v>-38</v>
      </c>
      <c r="I234" s="8">
        <v>4.4000000000000004</v>
      </c>
      <c r="J234" s="8"/>
      <c r="K234" s="8"/>
    </row>
    <row r="235" spans="2:11" x14ac:dyDescent="0.3">
      <c r="B235" s="9">
        <v>45910</v>
      </c>
      <c r="C235" s="20" t="s">
        <v>85</v>
      </c>
      <c r="D235" s="148">
        <v>11</v>
      </c>
      <c r="E235" s="10" t="str">
        <f>+IF(D235&gt;0,VLOOKUP(D235,'Código Tambos'!$B$2:$C$6,2,TRUE),0)</f>
        <v>Don Enrique (Amalina)</v>
      </c>
      <c r="F235" s="10">
        <v>9180</v>
      </c>
      <c r="G235" s="48"/>
      <c r="H235" s="48"/>
      <c r="I235" s="10">
        <v>4.5</v>
      </c>
      <c r="J235" s="10"/>
      <c r="K235" s="10"/>
    </row>
    <row r="236" spans="2:11" x14ac:dyDescent="0.3">
      <c r="B236" s="11">
        <v>45910</v>
      </c>
      <c r="C236" s="26" t="s">
        <v>85</v>
      </c>
      <c r="D236" s="149">
        <v>13</v>
      </c>
      <c r="E236" s="12" t="str">
        <f>+IF(D236&gt;0,VLOOKUP(D236,'Código Tambos'!$B$2:$C$6,2,TRUE),0)</f>
        <v>Estancia Aleluya</v>
      </c>
      <c r="F236" s="12">
        <v>9090</v>
      </c>
      <c r="G236" s="49"/>
      <c r="H236" s="49"/>
      <c r="I236" s="12">
        <v>4.0999999999999996</v>
      </c>
      <c r="J236" s="12"/>
      <c r="K236" s="12"/>
    </row>
    <row r="237" spans="2:11" x14ac:dyDescent="0.3">
      <c r="B237" s="13">
        <v>45911</v>
      </c>
      <c r="C237" s="34" t="s">
        <v>87</v>
      </c>
      <c r="D237" s="150">
        <v>10</v>
      </c>
      <c r="E237" s="14" t="str">
        <f>+IF(D237&gt;0,VLOOKUP(D237,'Código Tambos'!$B$2:$C$6,2,TRUE),0)</f>
        <v>Huaca Hue</v>
      </c>
      <c r="F237" s="14">
        <v>10124</v>
      </c>
      <c r="G237" s="44">
        <v>28240</v>
      </c>
      <c r="H237" s="47">
        <f>+G237-SUM(F237:F239)</f>
        <v>-156</v>
      </c>
      <c r="I237" s="14"/>
      <c r="J237" s="14"/>
      <c r="K237" s="58"/>
    </row>
    <row r="238" spans="2:11" x14ac:dyDescent="0.3">
      <c r="B238" s="15">
        <v>45911</v>
      </c>
      <c r="C238" s="35" t="s">
        <v>87</v>
      </c>
      <c r="D238" s="151">
        <v>11</v>
      </c>
      <c r="E238" s="16" t="str">
        <f>+IF(D238&gt;0,VLOOKUP(D238,'Código Tambos'!$B$2:$C$6,2,TRUE),0)</f>
        <v>Don Enrique (Amalina)</v>
      </c>
      <c r="F238" s="16">
        <v>9190</v>
      </c>
      <c r="G238" s="45"/>
      <c r="H238" s="45"/>
      <c r="I238" s="16"/>
      <c r="J238" s="16"/>
      <c r="K238" s="60"/>
    </row>
    <row r="239" spans="2:11" x14ac:dyDescent="0.3">
      <c r="B239" s="17">
        <v>45911</v>
      </c>
      <c r="C239" s="36" t="s">
        <v>87</v>
      </c>
      <c r="D239" s="152">
        <v>13</v>
      </c>
      <c r="E239" s="18" t="str">
        <f>+IF(D239&gt;0,VLOOKUP(D239,'Código Tambos'!$B$2:$C$6,2,TRUE),0)</f>
        <v>Estancia Aleluya</v>
      </c>
      <c r="F239" s="18">
        <v>9082</v>
      </c>
      <c r="G239" s="46"/>
      <c r="H239" s="46"/>
      <c r="I239" s="18"/>
      <c r="J239" s="18"/>
      <c r="K239" s="64"/>
    </row>
    <row r="240" spans="2:11" x14ac:dyDescent="0.3">
      <c r="B240" s="71">
        <v>45914</v>
      </c>
      <c r="C240" s="32" t="s">
        <v>88</v>
      </c>
      <c r="D240" s="135">
        <v>10</v>
      </c>
      <c r="E240" s="72" t="str">
        <f>+IF(D240&gt;0,VLOOKUP(D240,'Código Tambos'!$B$2:$C$6,2,TRUE),0)</f>
        <v>Huaca Hue</v>
      </c>
      <c r="F240" s="72">
        <v>10215</v>
      </c>
      <c r="G240" s="73">
        <v>26812</v>
      </c>
      <c r="H240" s="73">
        <f>+G240-SUM(F240:F242)</f>
        <v>6</v>
      </c>
      <c r="I240" s="72">
        <v>4.4000000000000004</v>
      </c>
      <c r="J240" s="72"/>
      <c r="K240" s="74"/>
    </row>
    <row r="241" spans="2:11" x14ac:dyDescent="0.3">
      <c r="B241" s="75">
        <v>45914</v>
      </c>
      <c r="C241" s="76" t="s">
        <v>88</v>
      </c>
      <c r="D241" s="127">
        <v>11</v>
      </c>
      <c r="E241" s="77" t="str">
        <f>+IF(D241&gt;0,VLOOKUP(D241,'Código Tambos'!$B$2:$C$6,2,TRUE),0)</f>
        <v>Don Enrique (Amalina)</v>
      </c>
      <c r="F241" s="77">
        <v>9729</v>
      </c>
      <c r="G241" s="78"/>
      <c r="H241" s="78"/>
      <c r="I241" s="77">
        <v>4.3</v>
      </c>
      <c r="J241" s="77"/>
      <c r="K241" s="79"/>
    </row>
    <row r="242" spans="2:11" x14ac:dyDescent="0.3">
      <c r="B242" s="80">
        <v>45914</v>
      </c>
      <c r="C242" s="76" t="s">
        <v>88</v>
      </c>
      <c r="D242" s="128">
        <v>13</v>
      </c>
      <c r="E242" s="81" t="str">
        <f>+IF(D242&gt;0,VLOOKUP(D242,'Código Tambos'!$B$2:$C$6,2,TRUE),0)</f>
        <v>Estancia Aleluya</v>
      </c>
      <c r="F242" s="81">
        <v>6862</v>
      </c>
      <c r="G242" s="82"/>
      <c r="H242" s="82"/>
      <c r="I242" s="81">
        <v>6.5</v>
      </c>
      <c r="J242" s="81"/>
      <c r="K242" s="83"/>
    </row>
    <row r="243" spans="2:11" x14ac:dyDescent="0.3">
      <c r="B243" s="13">
        <v>45915</v>
      </c>
      <c r="C243" s="34" t="s">
        <v>89</v>
      </c>
      <c r="D243" s="150">
        <v>10</v>
      </c>
      <c r="E243" s="14" t="str">
        <f>+IF(D243&gt;0,VLOOKUP(D243,'Código Tambos'!$B$2:$C$6,2,TRUE),0)</f>
        <v>Huaca Hue</v>
      </c>
      <c r="F243" s="14">
        <v>10306</v>
      </c>
      <c r="G243" s="44">
        <v>27328</v>
      </c>
      <c r="H243" s="47">
        <f>+G243-SUM(F243:F245)</f>
        <v>23</v>
      </c>
      <c r="I243" s="14">
        <v>4.2</v>
      </c>
      <c r="J243" s="14"/>
      <c r="K243" s="58"/>
    </row>
    <row r="244" spans="2:11" x14ac:dyDescent="0.3">
      <c r="B244" s="15">
        <v>45915</v>
      </c>
      <c r="C244" s="35" t="s">
        <v>89</v>
      </c>
      <c r="D244" s="151">
        <v>11</v>
      </c>
      <c r="E244" s="16" t="str">
        <f>+IF(D244&gt;0,VLOOKUP(D244,'Código Tambos'!$B$2:$C$6,2,TRUE),0)</f>
        <v>Don Enrique (Amalina)</v>
      </c>
      <c r="F244" s="16">
        <v>9552</v>
      </c>
      <c r="G244" s="45"/>
      <c r="H244" s="45"/>
      <c r="I244" s="16">
        <v>3.9</v>
      </c>
      <c r="J244" s="16"/>
      <c r="K244" s="60"/>
    </row>
    <row r="245" spans="2:11" x14ac:dyDescent="0.3">
      <c r="B245" s="17">
        <v>45915</v>
      </c>
      <c r="C245" s="36" t="s">
        <v>89</v>
      </c>
      <c r="D245" s="152">
        <v>13</v>
      </c>
      <c r="E245" s="18" t="str">
        <f>+IF(D245&gt;0,VLOOKUP(D245,'Código Tambos'!$B$2:$C$6,2,TRUE),0)</f>
        <v>Estancia Aleluya</v>
      </c>
      <c r="F245" s="18">
        <v>7447</v>
      </c>
      <c r="G245" s="46"/>
      <c r="H245" s="46"/>
      <c r="I245" s="18">
        <v>4.3</v>
      </c>
      <c r="J245" s="18"/>
      <c r="K245" s="64"/>
    </row>
    <row r="246" spans="2:11" x14ac:dyDescent="0.3">
      <c r="B246" s="71">
        <v>45916</v>
      </c>
      <c r="C246" s="32" t="s">
        <v>90</v>
      </c>
      <c r="D246" s="135">
        <v>10</v>
      </c>
      <c r="E246" s="72" t="str">
        <f>+IF(D246&gt;0,VLOOKUP(D246,'Código Tambos'!$B$2:$C$6,2,TRUE),0)</f>
        <v>Huaca Hue</v>
      </c>
      <c r="F246" s="72">
        <v>10043</v>
      </c>
      <c r="G246" s="73">
        <v>26178</v>
      </c>
      <c r="H246" s="73">
        <f>+G246-SUM(F246:F248)</f>
        <v>334</v>
      </c>
      <c r="I246" s="72">
        <v>4.3</v>
      </c>
      <c r="J246" s="72"/>
      <c r="K246" s="74"/>
    </row>
    <row r="247" spans="2:11" x14ac:dyDescent="0.3">
      <c r="B247" s="75">
        <v>45916</v>
      </c>
      <c r="C247" s="76" t="s">
        <v>90</v>
      </c>
      <c r="D247" s="127">
        <v>11</v>
      </c>
      <c r="E247" s="77" t="str">
        <f>+IF(D247&gt;0,VLOOKUP(D247,'Código Tambos'!$B$2:$C$6,2,TRUE),0)</f>
        <v>Don Enrique (Amalina)</v>
      </c>
      <c r="F247" s="77">
        <v>9962</v>
      </c>
      <c r="G247" s="78"/>
      <c r="H247" s="78"/>
      <c r="I247" s="77">
        <v>3.6</v>
      </c>
      <c r="J247" s="77"/>
      <c r="K247" s="79"/>
    </row>
    <row r="248" spans="2:11" x14ac:dyDescent="0.3">
      <c r="B248" s="80">
        <v>45916</v>
      </c>
      <c r="C248" s="33" t="s">
        <v>90</v>
      </c>
      <c r="D248" s="128">
        <v>13</v>
      </c>
      <c r="E248" s="81" t="str">
        <f>+IF(D248&gt;0,VLOOKUP(D248,'Código Tambos'!$B$2:$C$6,2,TRUE),0)</f>
        <v>Estancia Aleluya</v>
      </c>
      <c r="F248" s="81">
        <v>5839</v>
      </c>
      <c r="G248" s="82"/>
      <c r="H248" s="82"/>
      <c r="I248" s="81">
        <v>3.8</v>
      </c>
      <c r="J248" s="81"/>
      <c r="K248" s="83"/>
    </row>
    <row r="249" spans="2:11" x14ac:dyDescent="0.3">
      <c r="B249" s="13">
        <v>45928</v>
      </c>
      <c r="C249" s="34" t="s">
        <v>91</v>
      </c>
      <c r="D249" s="150">
        <v>10</v>
      </c>
      <c r="E249" s="14" t="str">
        <f>+IF(D249&gt;0,VLOOKUP(D249,'Código Tambos'!$B$2:$C$6,2,TRUE),0)</f>
        <v>Huaca Hue</v>
      </c>
      <c r="F249" s="14">
        <v>10429</v>
      </c>
      <c r="G249" s="44">
        <v>27238</v>
      </c>
      <c r="H249" s="47">
        <f>+G249-SUM(F249:F251)</f>
        <v>189</v>
      </c>
      <c r="I249" s="14">
        <v>3.6</v>
      </c>
      <c r="J249" s="14"/>
      <c r="K249" s="58"/>
    </row>
    <row r="250" spans="2:11" x14ac:dyDescent="0.3">
      <c r="B250" s="15">
        <v>45928</v>
      </c>
      <c r="C250" s="35" t="s">
        <v>91</v>
      </c>
      <c r="D250" s="151">
        <v>11</v>
      </c>
      <c r="E250" s="16" t="str">
        <f>+IF(D250&gt;0,VLOOKUP(D250,'Código Tambos'!$B$2:$C$6,2,TRUE),0)</f>
        <v>Don Enrique (Amalina)</v>
      </c>
      <c r="F250" s="16">
        <v>9487</v>
      </c>
      <c r="G250" s="45"/>
      <c r="H250" s="45"/>
      <c r="I250" s="16">
        <v>4.9000000000000004</v>
      </c>
      <c r="J250" s="16"/>
      <c r="K250" s="60"/>
    </row>
    <row r="251" spans="2:11" x14ac:dyDescent="0.3">
      <c r="B251" s="17">
        <v>45928</v>
      </c>
      <c r="C251" s="36" t="s">
        <v>91</v>
      </c>
      <c r="D251" s="152">
        <v>13</v>
      </c>
      <c r="E251" s="18" t="str">
        <f>+IF(D251&gt;0,VLOOKUP(D251,'Código Tambos'!$B$2:$C$6,2,TRUE),0)</f>
        <v>Estancia Aleluya</v>
      </c>
      <c r="F251" s="18">
        <v>7133</v>
      </c>
      <c r="G251" s="46"/>
      <c r="H251" s="46"/>
      <c r="I251" s="18">
        <v>3.9</v>
      </c>
      <c r="J251" s="18"/>
      <c r="K251" s="64"/>
    </row>
    <row r="252" spans="2:11" x14ac:dyDescent="0.3">
      <c r="B252" s="71">
        <v>45929</v>
      </c>
      <c r="C252" s="32" t="s">
        <v>92</v>
      </c>
      <c r="D252" s="135">
        <v>10</v>
      </c>
      <c r="E252" s="72" t="str">
        <f>+IF(D252&gt;0,VLOOKUP(D252,'Código Tambos'!$B$2:$C$6,2,TRUE),0)</f>
        <v>Huaca Hue</v>
      </c>
      <c r="F252" s="72">
        <v>10371</v>
      </c>
      <c r="G252" s="73">
        <v>26948</v>
      </c>
      <c r="H252" s="73">
        <f>+G252-SUM(F252:F254)</f>
        <v>178</v>
      </c>
      <c r="I252" s="72">
        <v>4.0999999999999996</v>
      </c>
      <c r="J252" s="72"/>
      <c r="K252" s="74"/>
    </row>
    <row r="253" spans="2:11" x14ac:dyDescent="0.3">
      <c r="B253" s="75">
        <v>45929</v>
      </c>
      <c r="C253" s="76" t="s">
        <v>92</v>
      </c>
      <c r="D253" s="127">
        <v>11</v>
      </c>
      <c r="E253" s="77" t="str">
        <f>+IF(D253&gt;0,VLOOKUP(D253,'Código Tambos'!$B$2:$C$6,2,TRUE),0)</f>
        <v>Don Enrique (Amalina)</v>
      </c>
      <c r="F253" s="77">
        <v>9458</v>
      </c>
      <c r="G253" s="78"/>
      <c r="H253" s="78"/>
      <c r="I253" s="77">
        <v>3.4</v>
      </c>
      <c r="J253" s="77"/>
      <c r="K253" s="79"/>
    </row>
    <row r="254" spans="2:11" x14ac:dyDescent="0.3">
      <c r="B254" s="80">
        <v>45929</v>
      </c>
      <c r="C254" s="33" t="s">
        <v>92</v>
      </c>
      <c r="D254" s="128">
        <v>13</v>
      </c>
      <c r="E254" s="81" t="str">
        <f>+IF(D254&gt;0,VLOOKUP(D254,'Código Tambos'!$B$2:$C$6,2,TRUE),0)</f>
        <v>Estancia Aleluya</v>
      </c>
      <c r="F254" s="81">
        <v>6941</v>
      </c>
      <c r="G254" s="82"/>
      <c r="H254" s="82"/>
      <c r="I254" s="81">
        <v>3.9</v>
      </c>
      <c r="J254" s="81"/>
      <c r="K254" s="83"/>
    </row>
    <row r="255" spans="2:11" x14ac:dyDescent="0.3">
      <c r="B255" s="13">
        <v>45930</v>
      </c>
      <c r="C255" s="34" t="s">
        <v>93</v>
      </c>
      <c r="D255" s="150">
        <v>10</v>
      </c>
      <c r="E255" s="14" t="str">
        <f>+IF(D255&gt;0,VLOOKUP(D255,'Código Tambos'!$B$2:$C$6,2,TRUE),0)</f>
        <v>Huaca Hue</v>
      </c>
      <c r="F255" s="14">
        <v>10215</v>
      </c>
      <c r="G255" s="44">
        <v>28793</v>
      </c>
      <c r="H255" s="47">
        <f>+G255-SUM(F255:F257)</f>
        <v>450</v>
      </c>
      <c r="I255" s="14">
        <v>4.5999999999999996</v>
      </c>
      <c r="J255" s="14"/>
      <c r="K255" s="58"/>
    </row>
    <row r="256" spans="2:11" x14ac:dyDescent="0.3">
      <c r="B256" s="15">
        <v>45930</v>
      </c>
      <c r="C256" s="35" t="s">
        <v>93</v>
      </c>
      <c r="D256" s="151">
        <v>11</v>
      </c>
      <c r="E256" s="16" t="str">
        <f>+IF(D256&gt;0,VLOOKUP(D256,'Código Tambos'!$B$2:$C$6,2,TRUE),0)</f>
        <v>Don Enrique (Amalina)</v>
      </c>
      <c r="F256" s="16">
        <v>9488</v>
      </c>
      <c r="G256" s="45"/>
      <c r="H256" s="45"/>
      <c r="I256" s="16">
        <v>3.8</v>
      </c>
      <c r="J256" s="16"/>
      <c r="K256" s="60"/>
    </row>
    <row r="257" spans="2:11" x14ac:dyDescent="0.3">
      <c r="B257" s="17">
        <v>45930</v>
      </c>
      <c r="C257" s="36" t="s">
        <v>93</v>
      </c>
      <c r="D257" s="152">
        <v>13</v>
      </c>
      <c r="E257" s="18" t="str">
        <f>+IF(D257&gt;0,VLOOKUP(D257,'Código Tambos'!$B$2:$C$6,2,TRUE),0)</f>
        <v>Estancia Aleluya</v>
      </c>
      <c r="F257" s="18">
        <v>8640</v>
      </c>
      <c r="G257" s="46"/>
      <c r="H257" s="46"/>
      <c r="I257" s="18">
        <v>5</v>
      </c>
      <c r="J257" s="18"/>
      <c r="K257" s="64"/>
    </row>
    <row r="258" spans="2:11" x14ac:dyDescent="0.3">
      <c r="B258" s="71">
        <v>45935</v>
      </c>
      <c r="C258" s="32" t="s">
        <v>94</v>
      </c>
      <c r="D258" s="159">
        <v>13</v>
      </c>
      <c r="E258" s="72" t="str">
        <f>+IF(D258&gt;0,VLOOKUP(D258,'Código Tambos'!$B$2:$C$6,2,TRUE),0)</f>
        <v>Estancia Aleluya</v>
      </c>
      <c r="F258" s="74">
        <v>8223</v>
      </c>
      <c r="G258" s="73">
        <v>51930</v>
      </c>
      <c r="H258" s="73">
        <f>+G258-SUM(F258:F261)</f>
        <v>545</v>
      </c>
      <c r="I258" s="72">
        <v>3.2</v>
      </c>
      <c r="J258" s="72"/>
      <c r="K258" s="74"/>
    </row>
    <row r="259" spans="2:11" x14ac:dyDescent="0.3">
      <c r="B259" s="75">
        <v>45935</v>
      </c>
      <c r="C259" s="76" t="s">
        <v>94</v>
      </c>
      <c r="D259" s="160">
        <v>13</v>
      </c>
      <c r="E259" s="77" t="str">
        <f>+IF(D259&gt;0,VLOOKUP(D259,'Código Tambos'!$B$2:$C$6,2,TRUE),0)</f>
        <v>Estancia Aleluya</v>
      </c>
      <c r="F259" s="79">
        <v>17769</v>
      </c>
      <c r="G259" s="78"/>
      <c r="H259" s="78"/>
      <c r="I259" s="77">
        <v>4.5</v>
      </c>
      <c r="J259" s="77"/>
      <c r="K259" s="79"/>
    </row>
    <row r="260" spans="2:11" x14ac:dyDescent="0.3">
      <c r="B260" s="75">
        <v>45935</v>
      </c>
      <c r="C260" s="76" t="s">
        <v>94</v>
      </c>
      <c r="D260" s="160">
        <v>11</v>
      </c>
      <c r="E260" s="77" t="str">
        <f>+IF(D260&gt;0,VLOOKUP(D260,'Código Tambos'!$B$2:$C$6,2,TRUE),0)</f>
        <v>Don Enrique (Amalina)</v>
      </c>
      <c r="F260" s="79">
        <v>13937</v>
      </c>
      <c r="G260" s="78"/>
      <c r="H260" s="78"/>
      <c r="I260" s="77">
        <v>1.7</v>
      </c>
      <c r="J260" s="77"/>
      <c r="K260" s="79"/>
    </row>
    <row r="261" spans="2:11" x14ac:dyDescent="0.3">
      <c r="B261" s="80">
        <v>45935</v>
      </c>
      <c r="C261" s="33" t="s">
        <v>94</v>
      </c>
      <c r="D261" s="161">
        <v>10</v>
      </c>
      <c r="E261" s="81" t="str">
        <f>+IF(D261&gt;0,VLOOKUP(D261,'Código Tambos'!$B$2:$C$6,2,TRUE),0)</f>
        <v>Huaca Hue</v>
      </c>
      <c r="F261" s="83">
        <v>11456</v>
      </c>
      <c r="G261" s="82"/>
      <c r="H261" s="82"/>
      <c r="I261" s="81">
        <v>2.4</v>
      </c>
      <c r="J261" s="81"/>
      <c r="K261" s="83"/>
    </row>
    <row r="262" spans="2:11" x14ac:dyDescent="0.3">
      <c r="B262" s="13">
        <v>45936</v>
      </c>
      <c r="C262" s="34" t="s">
        <v>95</v>
      </c>
      <c r="D262" s="162">
        <v>10</v>
      </c>
      <c r="E262" s="14" t="str">
        <f>+IF(D262&gt;0,VLOOKUP(D262,'Código Tambos'!$B$2:$C$6,2,TRUE),0)</f>
        <v>Huaca Hue</v>
      </c>
      <c r="F262" s="58">
        <v>10347</v>
      </c>
      <c r="G262" s="44">
        <f>9842+23044</f>
        <v>32886</v>
      </c>
      <c r="H262" s="47">
        <f>+G262-SUM(F262:F264)</f>
        <v>-22</v>
      </c>
      <c r="I262" s="14">
        <v>4.7</v>
      </c>
      <c r="J262" s="14"/>
      <c r="K262" s="58"/>
    </row>
    <row r="263" spans="2:11" x14ac:dyDescent="0.3">
      <c r="B263" s="15">
        <v>45936</v>
      </c>
      <c r="C263" s="35" t="s">
        <v>95</v>
      </c>
      <c r="D263" s="163">
        <v>11</v>
      </c>
      <c r="E263" s="16" t="str">
        <f>+IF(D263&gt;0,VLOOKUP(D263,'Código Tambos'!$B$2:$C$6,2,TRUE),0)</f>
        <v>Don Enrique (Amalina)</v>
      </c>
      <c r="F263" s="60">
        <v>12584</v>
      </c>
      <c r="G263" s="45"/>
      <c r="H263" s="45"/>
      <c r="I263" s="16">
        <v>2.8</v>
      </c>
      <c r="J263" s="16"/>
      <c r="K263" s="60"/>
    </row>
    <row r="264" spans="2:11" x14ac:dyDescent="0.3">
      <c r="B264" s="17">
        <v>45936</v>
      </c>
      <c r="C264" s="36" t="s">
        <v>96</v>
      </c>
      <c r="D264" s="164">
        <v>13</v>
      </c>
      <c r="E264" s="18" t="str">
        <f>+IF(D264&gt;0,VLOOKUP(D264,'Código Tambos'!$B$2:$C$6,2,TRUE),0)</f>
        <v>Estancia Aleluya</v>
      </c>
      <c r="F264" s="64">
        <v>9977</v>
      </c>
      <c r="G264" s="46"/>
      <c r="H264" s="46"/>
      <c r="I264" s="18">
        <v>3.1</v>
      </c>
      <c r="J264" s="18"/>
      <c r="K264" s="64"/>
    </row>
    <row r="265" spans="2:11" x14ac:dyDescent="0.3">
      <c r="B265" s="71">
        <v>45937</v>
      </c>
      <c r="C265" s="32" t="s">
        <v>97</v>
      </c>
      <c r="D265" s="159">
        <v>13</v>
      </c>
      <c r="E265" s="72" t="str">
        <f>+IF(D265&gt;0,VLOOKUP(D265,'Código Tambos'!$B$2:$C$6,2,TRUE),0)</f>
        <v>Estancia Aleluya</v>
      </c>
      <c r="F265" s="74">
        <v>8509</v>
      </c>
      <c r="G265" s="73">
        <f>8395+20068</f>
        <v>28463</v>
      </c>
      <c r="H265" s="73">
        <f>+G265-SUM(F265:F267)</f>
        <v>-126</v>
      </c>
      <c r="I265" s="72">
        <v>5</v>
      </c>
      <c r="J265" s="72"/>
      <c r="K265" s="74"/>
    </row>
    <row r="266" spans="2:11" x14ac:dyDescent="0.3">
      <c r="B266" s="75">
        <v>45937</v>
      </c>
      <c r="C266" s="76" t="s">
        <v>98</v>
      </c>
      <c r="D266" s="160">
        <v>10</v>
      </c>
      <c r="E266" s="77" t="str">
        <f>+IF(D266&gt;0,VLOOKUP(D266,'Código Tambos'!$B$2:$C$6,2,TRUE),0)</f>
        <v>Huaca Hue</v>
      </c>
      <c r="F266" s="79">
        <v>10151</v>
      </c>
      <c r="G266" s="78"/>
      <c r="H266" s="78"/>
      <c r="I266" s="77">
        <v>4.5</v>
      </c>
      <c r="J266" s="77"/>
      <c r="K266" s="79"/>
    </row>
    <row r="267" spans="2:11" x14ac:dyDescent="0.3">
      <c r="B267" s="80">
        <v>45937</v>
      </c>
      <c r="C267" s="33" t="s">
        <v>98</v>
      </c>
      <c r="D267" s="161">
        <v>11</v>
      </c>
      <c r="E267" s="81" t="str">
        <f>+IF(D267&gt;0,VLOOKUP(D267,'Código Tambos'!$B$2:$C$6,2,TRUE),0)</f>
        <v>Don Enrique (Amalina)</v>
      </c>
      <c r="F267" s="83">
        <v>9929</v>
      </c>
      <c r="G267" s="82"/>
      <c r="H267" s="82"/>
      <c r="I267" s="81">
        <v>2.8</v>
      </c>
      <c r="J267" s="81"/>
      <c r="K267" s="83"/>
    </row>
    <row r="268" spans="2:11" x14ac:dyDescent="0.3">
      <c r="B268" s="55">
        <v>45938</v>
      </c>
      <c r="C268" s="34" t="s">
        <v>99</v>
      </c>
      <c r="D268" s="150">
        <v>11</v>
      </c>
      <c r="E268" s="14" t="str">
        <f>+IF(D268&gt;0,VLOOKUP(D268,'Código Tambos'!$B$2:$C$6,2,TRUE),0)</f>
        <v>Don Enrique (Amalina)</v>
      </c>
      <c r="F268" s="56">
        <v>9488</v>
      </c>
      <c r="G268" s="44">
        <v>25642</v>
      </c>
      <c r="H268" s="47">
        <f>+G268-SUM(F268:F269)</f>
        <v>93</v>
      </c>
      <c r="I268" s="56">
        <v>2.8</v>
      </c>
      <c r="J268" s="14"/>
      <c r="K268" s="58"/>
    </row>
    <row r="269" spans="2:11" x14ac:dyDescent="0.3">
      <c r="B269" s="59">
        <v>45938</v>
      </c>
      <c r="C269" s="35" t="s">
        <v>99</v>
      </c>
      <c r="D269" s="151">
        <v>10</v>
      </c>
      <c r="E269" s="16" t="str">
        <f>+IF(D269&gt;0,VLOOKUP(D269,'Código Tambos'!$B$2:$C$6,2,TRUE),0)</f>
        <v>Huaca Hue</v>
      </c>
      <c r="F269" s="53">
        <v>16061</v>
      </c>
      <c r="G269" s="45"/>
      <c r="H269" s="45"/>
      <c r="I269" s="53">
        <v>5</v>
      </c>
      <c r="J269" s="16"/>
      <c r="K269" s="60"/>
    </row>
    <row r="270" spans="2:11" x14ac:dyDescent="0.3">
      <c r="B270" s="71">
        <v>45942</v>
      </c>
      <c r="C270" s="32" t="s">
        <v>100</v>
      </c>
      <c r="D270" s="159">
        <v>10</v>
      </c>
      <c r="E270" s="72" t="str">
        <f>+IF(D270&gt;0,VLOOKUP(D270,'Código Tambos'!$B$2:$C$6,2,TRUE),0)</f>
        <v>Huaca Hue</v>
      </c>
      <c r="F270" s="74">
        <v>10069</v>
      </c>
      <c r="G270" s="73">
        <f>19028+15506</f>
        <v>34534</v>
      </c>
      <c r="H270" s="73">
        <f>+G270-SUM(F270:F273)</f>
        <v>233</v>
      </c>
      <c r="I270" s="72">
        <v>3.8</v>
      </c>
      <c r="J270" s="72"/>
      <c r="K270" s="74"/>
    </row>
    <row r="271" spans="2:11" x14ac:dyDescent="0.3">
      <c r="B271" s="75">
        <v>45942</v>
      </c>
      <c r="C271" s="76" t="s">
        <v>100</v>
      </c>
      <c r="D271" s="160">
        <v>11</v>
      </c>
      <c r="E271" s="77" t="str">
        <f>+IF(D271&gt;0,VLOOKUP(D271,'Código Tambos'!$B$2:$C$6,2,TRUE),0)</f>
        <v>Don Enrique (Amalina)</v>
      </c>
      <c r="F271" s="79">
        <v>5437</v>
      </c>
      <c r="G271" s="78"/>
      <c r="H271" s="78"/>
      <c r="I271" s="77">
        <v>2.1</v>
      </c>
      <c r="J271" s="77"/>
      <c r="K271" s="79"/>
    </row>
    <row r="272" spans="2:11" x14ac:dyDescent="0.3">
      <c r="B272" s="75">
        <v>45942</v>
      </c>
      <c r="C272" s="76" t="s">
        <v>101</v>
      </c>
      <c r="D272" s="160">
        <v>13</v>
      </c>
      <c r="E272" s="77" t="str">
        <f>+IF(D272&gt;0,VLOOKUP(D272,'Código Tambos'!$B$2:$C$6,2,TRUE),0)</f>
        <v>Estancia Aleluya</v>
      </c>
      <c r="F272" s="79">
        <v>9065</v>
      </c>
      <c r="G272" s="78"/>
      <c r="H272" s="78"/>
      <c r="I272" s="77">
        <v>2.8</v>
      </c>
      <c r="J272" s="77"/>
      <c r="K272" s="79"/>
    </row>
    <row r="273" spans="2:11" x14ac:dyDescent="0.3">
      <c r="B273" s="80">
        <v>45942</v>
      </c>
      <c r="C273" s="33" t="s">
        <v>101</v>
      </c>
      <c r="D273" s="161">
        <v>11</v>
      </c>
      <c r="E273" s="81" t="str">
        <f>+IF(D273&gt;0,VLOOKUP(D273,'Código Tambos'!$B$2:$C$6,2,TRUE),0)</f>
        <v>Don Enrique (Amalina)</v>
      </c>
      <c r="F273" s="83">
        <v>9730</v>
      </c>
      <c r="G273" s="82"/>
      <c r="H273" s="82"/>
      <c r="I273" s="81">
        <v>3.5</v>
      </c>
      <c r="J273" s="81"/>
      <c r="K273" s="83"/>
    </row>
    <row r="274" spans="2:11" x14ac:dyDescent="0.3">
      <c r="B274" s="13">
        <v>45942</v>
      </c>
      <c r="C274" s="34" t="s">
        <v>102</v>
      </c>
      <c r="D274" s="162">
        <v>13</v>
      </c>
      <c r="E274" s="14" t="str">
        <f>+IF(D274&gt;0,VLOOKUP(D274,'Código Tambos'!$B$2:$C$6,2,TRUE),0)</f>
        <v>Estancia Aleluya</v>
      </c>
      <c r="F274" s="58">
        <v>8293</v>
      </c>
      <c r="G274" s="44">
        <f>21128+8224</f>
        <v>29352</v>
      </c>
      <c r="H274" s="73">
        <f>+G274-SUM(F274:F277)</f>
        <v>-7735</v>
      </c>
      <c r="I274" s="14">
        <v>4.4000000000000004</v>
      </c>
      <c r="J274" s="14"/>
      <c r="K274" s="58"/>
    </row>
    <row r="275" spans="2:11" x14ac:dyDescent="0.3">
      <c r="B275" s="15">
        <v>45943</v>
      </c>
      <c r="C275" s="35" t="s">
        <v>103</v>
      </c>
      <c r="D275" s="163">
        <v>10</v>
      </c>
      <c r="E275" s="16" t="str">
        <f>+IF(D275&gt;0,VLOOKUP(D275,'Código Tambos'!$B$2:$C$6,2,TRUE),0)</f>
        <v>Huaca Hue</v>
      </c>
      <c r="F275" s="60">
        <v>10556</v>
      </c>
      <c r="G275" s="45"/>
      <c r="H275" s="45"/>
      <c r="I275" s="16">
        <v>3.7</v>
      </c>
      <c r="J275" s="16"/>
      <c r="K275" s="60"/>
    </row>
    <row r="276" spans="2:11" x14ac:dyDescent="0.3">
      <c r="B276" s="17">
        <v>45943</v>
      </c>
      <c r="C276" s="36" t="s">
        <v>103</v>
      </c>
      <c r="D276" s="164">
        <v>11</v>
      </c>
      <c r="E276" s="18" t="str">
        <f>+IF(D276&gt;0,VLOOKUP(D276,'Código Tambos'!$B$2:$C$6,2,TRUE),0)</f>
        <v>Don Enrique (Amalina)</v>
      </c>
      <c r="F276" s="64">
        <v>9897</v>
      </c>
      <c r="G276" s="46"/>
      <c r="H276" s="46"/>
      <c r="I276" s="18">
        <v>2.6</v>
      </c>
      <c r="J276" s="18"/>
      <c r="K276" s="64"/>
    </row>
    <row r="277" spans="2:11" x14ac:dyDescent="0.3">
      <c r="B277" s="71">
        <v>45943</v>
      </c>
      <c r="C277" s="32" t="s">
        <v>104</v>
      </c>
      <c r="D277" s="159">
        <v>13</v>
      </c>
      <c r="E277" s="72" t="str">
        <f>+IF(D277&gt;0,VLOOKUP(D277,'Código Tambos'!$B$2:$C$6,2,TRUE),0)</f>
        <v>Estancia Aleluya</v>
      </c>
      <c r="F277" s="74">
        <v>8341</v>
      </c>
      <c r="G277" s="73">
        <f>20640+8180</f>
        <v>28820</v>
      </c>
      <c r="H277" s="73">
        <f>+G277-SUM(F277:F279)</f>
        <v>155</v>
      </c>
      <c r="I277" s="72">
        <v>3</v>
      </c>
      <c r="J277" s="72"/>
      <c r="K277" s="74"/>
    </row>
    <row r="278" spans="2:11" x14ac:dyDescent="0.3">
      <c r="B278" s="75">
        <v>45944</v>
      </c>
      <c r="C278" s="76" t="s">
        <v>105</v>
      </c>
      <c r="D278" s="160">
        <v>10</v>
      </c>
      <c r="E278" s="77" t="str">
        <f>+IF(D278&gt;0,VLOOKUP(D278,'Código Tambos'!$B$2:$C$6,2,TRUE),0)</f>
        <v>Huaca Hue</v>
      </c>
      <c r="F278" s="79">
        <v>10310</v>
      </c>
      <c r="G278" s="78"/>
      <c r="H278" s="78"/>
      <c r="I278" s="77">
        <v>3.7</v>
      </c>
      <c r="J278" s="77"/>
      <c r="K278" s="79"/>
    </row>
    <row r="279" spans="2:11" x14ac:dyDescent="0.3">
      <c r="B279" s="80">
        <v>45944</v>
      </c>
      <c r="C279" s="33" t="s">
        <v>105</v>
      </c>
      <c r="D279" s="161">
        <v>11</v>
      </c>
      <c r="E279" s="77" t="str">
        <f>+IF(D279&gt;0,VLOOKUP(D279,'Código Tambos'!$B$2:$C$6,2,TRUE),0)</f>
        <v>Don Enrique (Amalina)</v>
      </c>
      <c r="F279" s="83">
        <v>10014</v>
      </c>
      <c r="G279" s="82"/>
      <c r="H279" s="82"/>
      <c r="I279" s="81">
        <v>2.2999999999999998</v>
      </c>
      <c r="J279" s="81"/>
      <c r="K279" s="83"/>
    </row>
    <row r="280" spans="2:11" x14ac:dyDescent="0.3">
      <c r="B280" s="55">
        <v>45949</v>
      </c>
      <c r="C280" s="34" t="s">
        <v>106</v>
      </c>
      <c r="D280" s="150">
        <v>13</v>
      </c>
      <c r="E280" s="56" t="str">
        <f>+IF(D280&gt;0,VLOOKUP(D280,'Código Tambos'!$B$2:$C$6,2,TRUE),0)</f>
        <v>Estancia Aleluya</v>
      </c>
      <c r="F280" s="14">
        <v>8775</v>
      </c>
      <c r="G280" s="44">
        <f>5082+26488</f>
        <v>31570</v>
      </c>
      <c r="H280" s="73">
        <f>+G280-SUM(F280:F283)</f>
        <v>-65</v>
      </c>
      <c r="I280" s="14">
        <v>3.1</v>
      </c>
      <c r="J280" s="14"/>
      <c r="K280" s="58"/>
    </row>
    <row r="281" spans="2:11" x14ac:dyDescent="0.3">
      <c r="B281" s="59">
        <v>45949</v>
      </c>
      <c r="C281" s="35" t="s">
        <v>106</v>
      </c>
      <c r="D281" s="151">
        <v>11</v>
      </c>
      <c r="E281" s="53" t="str">
        <f>+IF(D281&gt;0,VLOOKUP(D281,'Código Tambos'!$B$2:$C$6,2,TRUE),0)</f>
        <v>Don Enrique (Amalina)</v>
      </c>
      <c r="F281" s="16">
        <v>6905</v>
      </c>
      <c r="G281" s="45"/>
      <c r="H281" s="45"/>
      <c r="I281" s="16">
        <v>2</v>
      </c>
      <c r="J281" s="16"/>
      <c r="K281" s="60"/>
    </row>
    <row r="282" spans="2:11" x14ac:dyDescent="0.3">
      <c r="B282" s="59">
        <v>45949</v>
      </c>
      <c r="C282" s="35" t="s">
        <v>106</v>
      </c>
      <c r="D282" s="151">
        <v>10</v>
      </c>
      <c r="E282" s="53" t="str">
        <f>+IF(D282&gt;0,VLOOKUP(D282,'Código Tambos'!$B$2:$C$6,2,TRUE),0)</f>
        <v>Huaca Hue</v>
      </c>
      <c r="F282" s="16">
        <v>10582</v>
      </c>
      <c r="G282" s="45"/>
      <c r="H282" s="45"/>
      <c r="I282" s="16">
        <v>3.7</v>
      </c>
      <c r="J282" s="16"/>
      <c r="K282" s="60"/>
    </row>
    <row r="283" spans="2:11" x14ac:dyDescent="0.3">
      <c r="B283" s="61">
        <v>45949</v>
      </c>
      <c r="C283" s="36" t="s">
        <v>107</v>
      </c>
      <c r="D283" s="152">
        <v>11</v>
      </c>
      <c r="E283" s="62" t="str">
        <f>+IF(D283&gt;0,VLOOKUP(D283,'Código Tambos'!$B$2:$C$6,2,TRUE),0)</f>
        <v>Don Enrique (Amalina)</v>
      </c>
      <c r="F283" s="18">
        <v>5373</v>
      </c>
      <c r="G283" s="46"/>
      <c r="H283" s="46"/>
      <c r="I283" s="18">
        <v>2.1</v>
      </c>
      <c r="J283" s="18"/>
      <c r="K283" s="64"/>
    </row>
    <row r="284" spans="2:11" x14ac:dyDescent="0.3">
      <c r="B284" s="84">
        <v>45950</v>
      </c>
      <c r="C284" s="32" t="s">
        <v>108</v>
      </c>
      <c r="D284" s="135">
        <v>13</v>
      </c>
      <c r="E284" s="85" t="str">
        <f>+IF(D284&gt;0,VLOOKUP(D284,'Código Tambos'!$B$2:$C$6,2,TRUE),0)</f>
        <v>Estancia Aleluya</v>
      </c>
      <c r="F284" s="72">
        <v>8540</v>
      </c>
      <c r="G284" s="73">
        <v>28288</v>
      </c>
      <c r="H284" s="73">
        <f>+G284-SUM(F284:F286)</f>
        <v>-148</v>
      </c>
      <c r="I284" s="72">
        <v>4.5999999999999996</v>
      </c>
      <c r="J284" s="72"/>
      <c r="K284" s="74"/>
    </row>
    <row r="285" spans="2:11" x14ac:dyDescent="0.3">
      <c r="B285" s="86">
        <v>45950</v>
      </c>
      <c r="C285" s="76" t="s">
        <v>108</v>
      </c>
      <c r="D285" s="127">
        <v>10</v>
      </c>
      <c r="E285" s="87" t="str">
        <f>+IF(D285&gt;0,VLOOKUP(D285,'Código Tambos'!$B$2:$C$6,2,TRUE),0)</f>
        <v>Huaca Hue</v>
      </c>
      <c r="F285" s="77">
        <v>10854</v>
      </c>
      <c r="G285" s="78"/>
      <c r="H285" s="78"/>
      <c r="I285" s="77">
        <v>3.6</v>
      </c>
      <c r="J285" s="77"/>
      <c r="K285" s="79"/>
    </row>
    <row r="286" spans="2:11" x14ac:dyDescent="0.3">
      <c r="B286" s="88">
        <v>45950</v>
      </c>
      <c r="C286" s="33" t="s">
        <v>108</v>
      </c>
      <c r="D286" s="128">
        <v>11</v>
      </c>
      <c r="E286" s="89" t="str">
        <f>+IF(D286&gt;0,VLOOKUP(D286,'Código Tambos'!$B$2:$C$6,2,TRUE),0)</f>
        <v>Don Enrique (Amalina)</v>
      </c>
      <c r="F286" s="81">
        <v>9042</v>
      </c>
      <c r="G286" s="82"/>
      <c r="H286" s="82"/>
      <c r="I286" s="81">
        <v>2.4</v>
      </c>
      <c r="J286" s="81"/>
      <c r="K286" s="83"/>
    </row>
    <row r="287" spans="2:11" x14ac:dyDescent="0.3">
      <c r="B287" s="90">
        <v>45951</v>
      </c>
      <c r="C287" s="28" t="s">
        <v>109</v>
      </c>
      <c r="D287" s="165">
        <v>13</v>
      </c>
      <c r="E287" s="91" t="str">
        <f>+IF(D287&gt;0,VLOOKUP(D287,'Código Tambos'!$B$2:$C$6,2,TRUE),0)</f>
        <v>Estancia Aleluya</v>
      </c>
      <c r="F287" s="92">
        <v>8510</v>
      </c>
      <c r="G287" s="93">
        <f>28034+3874</f>
        <v>31908</v>
      </c>
      <c r="H287" s="93">
        <f>+G287-SUM(F287:F290)</f>
        <v>-103</v>
      </c>
      <c r="I287" s="91">
        <v>3.3</v>
      </c>
      <c r="J287" s="91"/>
      <c r="K287" s="92"/>
    </row>
    <row r="288" spans="2:11" x14ac:dyDescent="0.3">
      <c r="B288" s="94">
        <v>45951</v>
      </c>
      <c r="C288" s="37" t="s">
        <v>109</v>
      </c>
      <c r="D288" s="166">
        <v>10</v>
      </c>
      <c r="E288" s="95" t="str">
        <f>+IF(D288&gt;0,VLOOKUP(D288,'Código Tambos'!$B$2:$C$6,2,TRUE),0)</f>
        <v>Huaca Hue</v>
      </c>
      <c r="F288" s="96">
        <v>10838</v>
      </c>
      <c r="G288" s="97"/>
      <c r="H288" s="97"/>
      <c r="I288" s="95">
        <v>3.6</v>
      </c>
      <c r="J288" s="95"/>
      <c r="K288" s="96"/>
    </row>
    <row r="289" spans="2:11" x14ac:dyDescent="0.3">
      <c r="B289" s="94">
        <v>45951</v>
      </c>
      <c r="C289" s="37" t="s">
        <v>109</v>
      </c>
      <c r="D289" s="166">
        <v>11</v>
      </c>
      <c r="E289" s="95" t="str">
        <f>+IF(D289&gt;0,VLOOKUP(D289,'Código Tambos'!$B$2:$C$6,2,TRUE),0)</f>
        <v>Don Enrique (Amalina)</v>
      </c>
      <c r="F289" s="96">
        <v>8789</v>
      </c>
      <c r="G289" s="97"/>
      <c r="H289" s="97"/>
      <c r="I289" s="95">
        <v>3</v>
      </c>
      <c r="J289" s="95"/>
      <c r="K289" s="96"/>
    </row>
    <row r="290" spans="2:11" x14ac:dyDescent="0.3">
      <c r="B290" s="98">
        <v>45951</v>
      </c>
      <c r="C290" s="30" t="s">
        <v>110</v>
      </c>
      <c r="D290" s="167">
        <v>11</v>
      </c>
      <c r="E290" s="99" t="str">
        <f>+IF(D290&gt;0,VLOOKUP(D290,'Código Tambos'!$B$2:$C$6,2,TRUE),0)</f>
        <v>Don Enrique (Amalina)</v>
      </c>
      <c r="F290" s="100">
        <v>3874</v>
      </c>
      <c r="G290" s="101"/>
      <c r="H290" s="101"/>
      <c r="I290" s="99">
        <v>2.2999999999999998</v>
      </c>
      <c r="J290" s="99"/>
      <c r="K290" s="100"/>
    </row>
    <row r="291" spans="2:11" x14ac:dyDescent="0.3">
      <c r="B291" s="84">
        <v>45952</v>
      </c>
      <c r="C291" s="32" t="s">
        <v>112</v>
      </c>
      <c r="D291" s="159">
        <v>13</v>
      </c>
      <c r="E291" s="72" t="str">
        <f>+IF(D291&gt;0,VLOOKUP(D291,'Código Tambos'!$B$2:$C$6,2,TRUE),0)</f>
        <v>Estancia Aleluya</v>
      </c>
      <c r="F291" s="74">
        <v>8437</v>
      </c>
      <c r="G291" s="73">
        <f>3974+28279</f>
        <v>32253</v>
      </c>
      <c r="H291" s="73">
        <f>+G291-SUM(F291:F294)</f>
        <v>-61</v>
      </c>
      <c r="I291" s="72">
        <v>4.7</v>
      </c>
      <c r="J291" s="72"/>
      <c r="K291" s="74"/>
    </row>
    <row r="292" spans="2:11" x14ac:dyDescent="0.3">
      <c r="B292" s="86">
        <v>45952</v>
      </c>
      <c r="C292" s="76" t="s">
        <v>112</v>
      </c>
      <c r="D292" s="160">
        <v>10</v>
      </c>
      <c r="E292" s="77" t="str">
        <f>+IF(D292&gt;0,VLOOKUP(D292,'Código Tambos'!$B$2:$C$6,2,TRUE),0)</f>
        <v>Huaca Hue</v>
      </c>
      <c r="F292" s="79">
        <v>10568</v>
      </c>
      <c r="G292" s="78"/>
      <c r="H292" s="78"/>
      <c r="I292" s="77">
        <v>3.6</v>
      </c>
      <c r="J292" s="77"/>
      <c r="K292" s="79"/>
    </row>
    <row r="293" spans="2:11" x14ac:dyDescent="0.3">
      <c r="B293" s="86">
        <v>45952</v>
      </c>
      <c r="C293" s="76" t="s">
        <v>112</v>
      </c>
      <c r="D293" s="160">
        <v>11</v>
      </c>
      <c r="E293" s="77" t="str">
        <f>+IF(D293&gt;0,VLOOKUP(D293,'Código Tambos'!$B$2:$C$6,2,TRUE),0)</f>
        <v>Don Enrique (Amalina)</v>
      </c>
      <c r="F293" s="79">
        <v>9400</v>
      </c>
      <c r="G293" s="78"/>
      <c r="H293" s="78"/>
      <c r="I293" s="77">
        <v>2.7</v>
      </c>
      <c r="J293" s="77"/>
      <c r="K293" s="79"/>
    </row>
    <row r="294" spans="2:11" x14ac:dyDescent="0.3">
      <c r="B294" s="88">
        <v>45952</v>
      </c>
      <c r="C294" s="33" t="s">
        <v>111</v>
      </c>
      <c r="D294" s="161">
        <v>10</v>
      </c>
      <c r="E294" s="77" t="str">
        <f>+IF(D294&gt;0,VLOOKUP(D294,'Código Tambos'!$B$2:$C$6,2,TRUE),0)</f>
        <v>Huaca Hue</v>
      </c>
      <c r="F294" s="83">
        <v>3909</v>
      </c>
      <c r="G294" s="82"/>
      <c r="H294" s="82"/>
      <c r="I294" s="81">
        <v>3.8</v>
      </c>
      <c r="J294" s="81"/>
      <c r="K294" s="83"/>
    </row>
    <row r="295" spans="2:11" x14ac:dyDescent="0.3">
      <c r="B295" s="90">
        <v>45957</v>
      </c>
      <c r="C295" s="28" t="s">
        <v>113</v>
      </c>
      <c r="D295" s="165">
        <v>13</v>
      </c>
      <c r="E295" s="91" t="str">
        <f>+IF(D295&gt;0,VLOOKUP(D295,'Código Tambos'!$B$2:$C$6,2,TRUE),0)</f>
        <v>Estancia Aleluya</v>
      </c>
      <c r="F295" s="92">
        <v>8281</v>
      </c>
      <c r="G295" s="93">
        <v>28782</v>
      </c>
      <c r="H295" s="93">
        <f>+G295-SUM(F295:F297)</f>
        <v>120</v>
      </c>
      <c r="I295" s="91">
        <v>3.3</v>
      </c>
      <c r="J295" s="91"/>
      <c r="K295" s="92"/>
    </row>
    <row r="296" spans="2:11" x14ac:dyDescent="0.3">
      <c r="B296" s="94">
        <v>45957</v>
      </c>
      <c r="C296" s="37" t="s">
        <v>113</v>
      </c>
      <c r="D296" s="166">
        <v>11</v>
      </c>
      <c r="E296" s="95" t="str">
        <f>+IF(D296&gt;0,VLOOKUP(D296,'Código Tambos'!$B$2:$C$6,2,TRUE),0)</f>
        <v>Don Enrique (Amalina)</v>
      </c>
      <c r="F296" s="96">
        <v>10230</v>
      </c>
      <c r="G296" s="97"/>
      <c r="H296" s="97"/>
      <c r="I296" s="95">
        <v>2.1</v>
      </c>
      <c r="J296" s="95"/>
      <c r="K296" s="96"/>
    </row>
    <row r="297" spans="2:11" x14ac:dyDescent="0.3">
      <c r="B297" s="98">
        <v>45957</v>
      </c>
      <c r="C297" s="30" t="s">
        <v>113</v>
      </c>
      <c r="D297" s="167">
        <v>10</v>
      </c>
      <c r="E297" s="99" t="str">
        <f>+IF(D297&gt;0,VLOOKUP(D297,'Código Tambos'!$B$2:$C$6,2,TRUE),0)</f>
        <v>Huaca Hue</v>
      </c>
      <c r="F297" s="100">
        <v>10151</v>
      </c>
      <c r="G297" s="101"/>
      <c r="H297" s="101"/>
      <c r="I297" s="99">
        <v>3.9</v>
      </c>
      <c r="J297" s="99"/>
      <c r="K297" s="100"/>
    </row>
    <row r="298" spans="2:11" x14ac:dyDescent="0.3">
      <c r="B298" s="84">
        <v>45958</v>
      </c>
      <c r="C298" s="32" t="s">
        <v>114</v>
      </c>
      <c r="D298" s="159">
        <v>13</v>
      </c>
      <c r="E298" s="72" t="str">
        <f>+IF(D298&gt;0,VLOOKUP(D298,'Código Tambos'!$B$2:$C$6,2,TRUE),0)</f>
        <v>Estancia Aleluya</v>
      </c>
      <c r="F298" s="74">
        <v>8029</v>
      </c>
      <c r="G298" s="73">
        <v>28658</v>
      </c>
      <c r="H298" s="73">
        <f>+G298-SUM(F298:F300)</f>
        <v>0</v>
      </c>
      <c r="I298" s="72">
        <v>3.5</v>
      </c>
      <c r="J298" s="72"/>
      <c r="K298" s="74"/>
    </row>
    <row r="299" spans="2:11" x14ac:dyDescent="0.3">
      <c r="B299" s="86">
        <v>45958</v>
      </c>
      <c r="C299" s="76" t="s">
        <v>114</v>
      </c>
      <c r="D299" s="160">
        <v>11</v>
      </c>
      <c r="E299" s="77" t="str">
        <f>+IF(D299&gt;0,VLOOKUP(D299,'Código Tambos'!$B$2:$C$6,2,TRUE),0)</f>
        <v>Don Enrique (Amalina)</v>
      </c>
      <c r="F299" s="79">
        <v>10439</v>
      </c>
      <c r="G299" s="78"/>
      <c r="H299" s="78"/>
      <c r="I299" s="77">
        <v>2.2000000000000002</v>
      </c>
      <c r="J299" s="77"/>
      <c r="K299" s="79"/>
    </row>
    <row r="300" spans="2:11" x14ac:dyDescent="0.3">
      <c r="B300" s="88">
        <v>45958</v>
      </c>
      <c r="C300" s="33" t="s">
        <v>114</v>
      </c>
      <c r="D300" s="161">
        <v>10</v>
      </c>
      <c r="E300" s="81" t="str">
        <f>+IF(D300&gt;0,VLOOKUP(D300,'Código Tambos'!$B$2:$C$6,2,TRUE),0)</f>
        <v>Huaca Hue</v>
      </c>
      <c r="F300" s="83">
        <v>10190</v>
      </c>
      <c r="G300" s="82"/>
      <c r="H300" s="82"/>
      <c r="I300" s="81">
        <v>2.8</v>
      </c>
      <c r="J300" s="81"/>
      <c r="K300" s="83"/>
    </row>
    <row r="301" spans="2:11" x14ac:dyDescent="0.3">
      <c r="B301" s="90">
        <v>45959</v>
      </c>
      <c r="C301" s="28" t="s">
        <v>115</v>
      </c>
      <c r="D301" s="165">
        <v>13</v>
      </c>
      <c r="E301" s="91" t="str">
        <f>+IF(D301&gt;0,VLOOKUP(D301,'Código Tambos'!$B$2:$C$6,2,TRUE),0)</f>
        <v>Estancia Aleluya</v>
      </c>
      <c r="F301" s="92">
        <v>5555</v>
      </c>
      <c r="G301" s="93">
        <v>27356</v>
      </c>
      <c r="H301" s="93">
        <f>+G301-SUM(F301:F303)</f>
        <v>-5</v>
      </c>
      <c r="I301" s="91">
        <v>3.8</v>
      </c>
      <c r="J301" s="91"/>
      <c r="K301" s="92"/>
    </row>
    <row r="302" spans="2:11" x14ac:dyDescent="0.3">
      <c r="B302" s="94">
        <v>45959</v>
      </c>
      <c r="C302" s="37" t="s">
        <v>115</v>
      </c>
      <c r="D302" s="166">
        <v>11</v>
      </c>
      <c r="E302" s="95" t="str">
        <f>+IF(D302&gt;0,VLOOKUP(D302,'Código Tambos'!$B$2:$C$6,2,TRUE),0)</f>
        <v>Don Enrique (Amalina)</v>
      </c>
      <c r="F302" s="96">
        <v>10487</v>
      </c>
      <c r="G302" s="97"/>
      <c r="H302" s="97"/>
      <c r="I302" s="95">
        <v>3.6</v>
      </c>
      <c r="J302" s="95"/>
      <c r="K302" s="96"/>
    </row>
    <row r="303" spans="2:11" x14ac:dyDescent="0.3">
      <c r="B303" s="98">
        <v>45959</v>
      </c>
      <c r="C303" s="30" t="s">
        <v>115</v>
      </c>
      <c r="D303" s="167">
        <v>10</v>
      </c>
      <c r="E303" s="95" t="str">
        <f>+IF(D303&gt;0,VLOOKUP(D303,'Código Tambos'!$B$2:$C$6,2,TRUE),0)</f>
        <v>Huaca Hue</v>
      </c>
      <c r="F303" s="100">
        <v>11319</v>
      </c>
      <c r="G303" s="101"/>
      <c r="H303" s="101"/>
      <c r="I303" s="99">
        <v>3.5</v>
      </c>
      <c r="J303" s="99"/>
      <c r="K303" s="100"/>
    </row>
    <row r="304" spans="2:11" x14ac:dyDescent="0.3">
      <c r="B304" s="84">
        <v>45962</v>
      </c>
      <c r="C304" s="32" t="s">
        <v>116</v>
      </c>
      <c r="D304" s="159">
        <v>13</v>
      </c>
      <c r="E304" s="72" t="str">
        <f>+IF(D304&gt;0,VLOOKUP(D304,'Código Tambos'!$B$2:$C$6,2,TRUE),0)</f>
        <v>Estancia Aleluya</v>
      </c>
      <c r="F304" s="74">
        <v>8193</v>
      </c>
      <c r="G304" s="73">
        <v>28456</v>
      </c>
      <c r="H304" s="73">
        <f>+G304-SUM(F304:F306)</f>
        <v>30</v>
      </c>
      <c r="I304" s="72">
        <v>4.5999999999999996</v>
      </c>
      <c r="J304" s="72"/>
      <c r="K304" s="74"/>
    </row>
    <row r="305" spans="2:11" x14ac:dyDescent="0.3">
      <c r="B305" s="86">
        <v>45962</v>
      </c>
      <c r="C305" s="76" t="s">
        <v>116</v>
      </c>
      <c r="D305" s="160">
        <v>11</v>
      </c>
      <c r="E305" s="77" t="str">
        <f>+IF(D305&gt;0,VLOOKUP(D305,'Código Tambos'!$B$2:$C$6,2,TRUE),0)</f>
        <v>Don Enrique (Amalina)</v>
      </c>
      <c r="F305" s="79">
        <v>10961</v>
      </c>
      <c r="G305" s="78"/>
      <c r="H305" s="78"/>
      <c r="I305" s="77">
        <v>2.1</v>
      </c>
      <c r="J305" s="77"/>
      <c r="K305" s="79"/>
    </row>
    <row r="306" spans="2:11" x14ac:dyDescent="0.3">
      <c r="B306" s="88">
        <v>45962</v>
      </c>
      <c r="C306" s="33" t="s">
        <v>116</v>
      </c>
      <c r="D306" s="161">
        <v>10</v>
      </c>
      <c r="E306" s="81" t="str">
        <f>+IF(D306&gt;0,VLOOKUP(D306,'Código Tambos'!$B$2:$C$6,2,TRUE),0)</f>
        <v>Huaca Hue</v>
      </c>
      <c r="F306" s="83">
        <v>9272</v>
      </c>
      <c r="G306" s="82"/>
      <c r="H306" s="82"/>
      <c r="I306" s="81">
        <v>4.7</v>
      </c>
      <c r="J306" s="81"/>
      <c r="K306" s="83"/>
    </row>
    <row r="307" spans="2:11" x14ac:dyDescent="0.3">
      <c r="B307" s="90">
        <v>45963</v>
      </c>
      <c r="C307" s="28" t="s">
        <v>117</v>
      </c>
      <c r="D307" s="168">
        <v>13</v>
      </c>
      <c r="E307" s="91" t="str">
        <f>+IF(D307&gt;0,VLOOKUP(D307,'Código Tambos'!$B$2:$C$6,2,TRUE),0)</f>
        <v>Estancia Aleluya</v>
      </c>
      <c r="F307" s="92">
        <v>8388</v>
      </c>
      <c r="G307" s="93">
        <v>28734</v>
      </c>
      <c r="H307" s="93">
        <f>+G307-SUM(F307:F309)</f>
        <v>-10</v>
      </c>
      <c r="I307" s="91">
        <v>3.9</v>
      </c>
      <c r="J307" s="91"/>
      <c r="K307" s="92"/>
    </row>
    <row r="308" spans="2:11" x14ac:dyDescent="0.3">
      <c r="B308" s="94">
        <v>45963</v>
      </c>
      <c r="C308" s="37" t="s">
        <v>117</v>
      </c>
      <c r="D308" s="169">
        <v>11</v>
      </c>
      <c r="E308" s="95" t="str">
        <f>+IF(D308&gt;0,VLOOKUP(D308,'Código Tambos'!$B$2:$C$6,2,TRUE),0)</f>
        <v>Don Enrique (Amalina)</v>
      </c>
      <c r="F308" s="96">
        <v>10599</v>
      </c>
      <c r="G308" s="97"/>
      <c r="H308" s="97"/>
      <c r="I308" s="95">
        <v>2.9</v>
      </c>
      <c r="J308" s="95"/>
      <c r="K308" s="96"/>
    </row>
    <row r="309" spans="2:11" x14ac:dyDescent="0.3">
      <c r="B309" s="98">
        <v>45963</v>
      </c>
      <c r="C309" s="30" t="s">
        <v>117</v>
      </c>
      <c r="D309" s="170">
        <v>10</v>
      </c>
      <c r="E309" s="99" t="str">
        <f>+IF(D309&gt;0,VLOOKUP(D309,'Código Tambos'!$B$2:$C$6,2,TRUE),0)</f>
        <v>Huaca Hue</v>
      </c>
      <c r="F309" s="100">
        <v>9757</v>
      </c>
      <c r="G309" s="101"/>
      <c r="H309" s="101"/>
      <c r="I309" s="99">
        <v>3</v>
      </c>
      <c r="J309" s="99"/>
      <c r="K309" s="100"/>
    </row>
    <row r="310" spans="2:11" x14ac:dyDescent="0.3">
      <c r="B310" s="84">
        <v>45964</v>
      </c>
      <c r="C310" s="32" t="s">
        <v>118</v>
      </c>
      <c r="D310" s="159">
        <v>13</v>
      </c>
      <c r="E310" s="72" t="str">
        <f>+IF(D310&gt;0,VLOOKUP(D310,'Código Tambos'!$B$2:$C$6,2,TRUE),0)</f>
        <v>Estancia Aleluya</v>
      </c>
      <c r="F310" s="74">
        <v>8413</v>
      </c>
      <c r="G310" s="73">
        <v>28574</v>
      </c>
      <c r="H310" s="73">
        <f>+G310-SUM(F310:F312)</f>
        <v>117</v>
      </c>
      <c r="I310" s="72">
        <v>4.9000000000000004</v>
      </c>
      <c r="J310" s="72"/>
      <c r="K310" s="74"/>
    </row>
    <row r="311" spans="2:11" x14ac:dyDescent="0.3">
      <c r="B311" s="86">
        <v>45964</v>
      </c>
      <c r="C311" s="76" t="s">
        <v>118</v>
      </c>
      <c r="D311" s="160">
        <v>11</v>
      </c>
      <c r="E311" s="77" t="str">
        <f>+IF(D311&gt;0,VLOOKUP(D311,'Código Tambos'!$B$2:$C$6,2,TRUE),0)</f>
        <v>Don Enrique (Amalina)</v>
      </c>
      <c r="F311" s="79">
        <v>8032</v>
      </c>
      <c r="G311" s="78"/>
      <c r="H311" s="78"/>
      <c r="I311" s="77">
        <v>2.2000000000000002</v>
      </c>
      <c r="J311" s="77"/>
      <c r="K311" s="79"/>
    </row>
    <row r="312" spans="2:11" x14ac:dyDescent="0.3">
      <c r="B312" s="88">
        <v>45964</v>
      </c>
      <c r="C312" s="33" t="s">
        <v>118</v>
      </c>
      <c r="D312" s="161">
        <v>10</v>
      </c>
      <c r="E312" s="81" t="str">
        <f>+IF(D312&gt;0,VLOOKUP(D312,'Código Tambos'!$B$2:$C$6,2,TRUE),0)</f>
        <v>Huaca Hue</v>
      </c>
      <c r="F312" s="83">
        <v>12012</v>
      </c>
      <c r="G312" s="82"/>
      <c r="H312" s="82"/>
      <c r="I312" s="81">
        <v>4.3</v>
      </c>
      <c r="J312" s="81"/>
      <c r="K312" s="83"/>
    </row>
    <row r="313" spans="2:11" x14ac:dyDescent="0.3">
      <c r="B313" s="90">
        <v>45969</v>
      </c>
      <c r="C313" s="28" t="s">
        <v>119</v>
      </c>
      <c r="D313" s="165">
        <v>13</v>
      </c>
      <c r="E313" s="91" t="str">
        <f>+IF(D313&gt;0,VLOOKUP(D313,'Código Tambos'!$B$2:$C$6,2,TRUE),0)</f>
        <v>Estancia Aleluya</v>
      </c>
      <c r="F313" s="92">
        <v>8629</v>
      </c>
      <c r="G313" s="93">
        <v>25974</v>
      </c>
      <c r="H313" s="93">
        <f>+G313-SUM(F313:F315)</f>
        <v>-369</v>
      </c>
      <c r="I313" s="91">
        <v>3.5</v>
      </c>
      <c r="J313" s="91"/>
      <c r="K313" s="92"/>
    </row>
    <row r="314" spans="2:11" x14ac:dyDescent="0.3">
      <c r="B314" s="94">
        <v>45969</v>
      </c>
      <c r="C314" s="37" t="s">
        <v>119</v>
      </c>
      <c r="D314" s="166">
        <v>11</v>
      </c>
      <c r="E314" s="95" t="str">
        <f>+IF(D314&gt;0,VLOOKUP(D314,'Código Tambos'!$B$2:$C$6,2,TRUE),0)</f>
        <v>Don Enrique (Amalina)</v>
      </c>
      <c r="F314" s="96">
        <v>7399</v>
      </c>
      <c r="G314" s="97"/>
      <c r="H314" s="97"/>
      <c r="I314" s="95">
        <v>3.8</v>
      </c>
      <c r="J314" s="95"/>
      <c r="K314" s="96"/>
    </row>
    <row r="315" spans="2:11" x14ac:dyDescent="0.3">
      <c r="B315" s="98">
        <v>45969</v>
      </c>
      <c r="C315" s="30" t="s">
        <v>119</v>
      </c>
      <c r="D315" s="167">
        <v>10</v>
      </c>
      <c r="E315" s="99" t="str">
        <f>+IF(D315&gt;0,VLOOKUP(D315,'Código Tambos'!$B$2:$C$6,2,TRUE),0)</f>
        <v>Huaca Hue</v>
      </c>
      <c r="F315" s="100">
        <v>10315</v>
      </c>
      <c r="G315" s="101"/>
      <c r="H315" s="101"/>
      <c r="I315" s="99">
        <v>4</v>
      </c>
      <c r="J315" s="99"/>
      <c r="K315" s="100"/>
    </row>
    <row r="316" spans="2:11" x14ac:dyDescent="0.3">
      <c r="B316" s="84">
        <v>45970</v>
      </c>
      <c r="C316" s="32" t="s">
        <v>120</v>
      </c>
      <c r="D316" s="159">
        <v>13</v>
      </c>
      <c r="E316" s="72" t="str">
        <f>+IF(D316&gt;0,VLOOKUP(D316,'Código Tambos'!$B$2:$C$6,2,TRUE),0)</f>
        <v>Estancia Aleluya</v>
      </c>
      <c r="F316" s="74">
        <v>8358</v>
      </c>
      <c r="G316" s="73">
        <v>26050</v>
      </c>
      <c r="H316" s="73">
        <f>+G316-SUM(F316:F318)</f>
        <v>-13</v>
      </c>
      <c r="I316" s="72">
        <v>4.3</v>
      </c>
      <c r="J316" s="72"/>
      <c r="K316" s="74"/>
    </row>
    <row r="317" spans="2:11" x14ac:dyDescent="0.3">
      <c r="B317" s="86">
        <v>45970</v>
      </c>
      <c r="C317" s="76" t="s">
        <v>120</v>
      </c>
      <c r="D317" s="160">
        <v>11</v>
      </c>
      <c r="E317" s="77" t="str">
        <f>+IF(D317&gt;0,VLOOKUP(D317,'Código Tambos'!$B$2:$C$6,2,TRUE),0)</f>
        <v>Don Enrique (Amalina)</v>
      </c>
      <c r="F317" s="79">
        <v>8033</v>
      </c>
      <c r="G317" s="78"/>
      <c r="H317" s="78"/>
      <c r="I317" s="77">
        <v>3</v>
      </c>
      <c r="J317" s="77"/>
      <c r="K317" s="79"/>
    </row>
    <row r="318" spans="2:11" x14ac:dyDescent="0.3">
      <c r="B318" s="88">
        <v>45970</v>
      </c>
      <c r="C318" s="33" t="s">
        <v>120</v>
      </c>
      <c r="D318" s="161">
        <v>10</v>
      </c>
      <c r="E318" s="81" t="str">
        <f>+IF(D318&gt;0,VLOOKUP(D318,'Código Tambos'!$B$2:$C$6,2,TRUE),0)</f>
        <v>Huaca Hue</v>
      </c>
      <c r="F318" s="83">
        <v>9672</v>
      </c>
      <c r="G318" s="82"/>
      <c r="H318" s="82"/>
      <c r="I318" s="81">
        <v>4</v>
      </c>
      <c r="J318" s="81"/>
      <c r="K318" s="83"/>
    </row>
    <row r="319" spans="2:11" x14ac:dyDescent="0.3">
      <c r="B319" s="90">
        <v>45971</v>
      </c>
      <c r="C319" s="28" t="s">
        <v>121</v>
      </c>
      <c r="D319" s="165">
        <v>10</v>
      </c>
      <c r="E319" s="91" t="str">
        <f>+IF(D319&gt;0,VLOOKUP(D319,'Código Tambos'!$B$2:$C$6,2,TRUE),0)</f>
        <v>Huaca Hue</v>
      </c>
      <c r="F319" s="92">
        <v>5198</v>
      </c>
      <c r="G319" s="93">
        <f>12948+7912</f>
        <v>20860</v>
      </c>
      <c r="H319" s="93">
        <f>+G319-SUM(F319:F321)</f>
        <v>-255</v>
      </c>
      <c r="I319" s="91">
        <v>3</v>
      </c>
      <c r="J319" s="91"/>
      <c r="K319" s="92"/>
    </row>
    <row r="320" spans="2:11" x14ac:dyDescent="0.3">
      <c r="B320" s="94">
        <v>45971</v>
      </c>
      <c r="C320" s="37" t="s">
        <v>121</v>
      </c>
      <c r="D320" s="166">
        <v>11</v>
      </c>
      <c r="E320" s="95" t="str">
        <f>+IF(D320&gt;0,VLOOKUP(D320,'Código Tambos'!$B$2:$C$6,2,TRUE),0)</f>
        <v>Don Enrique (Amalina)</v>
      </c>
      <c r="F320" s="96">
        <v>7879</v>
      </c>
      <c r="G320" s="97"/>
      <c r="H320" s="97"/>
      <c r="I320" s="95">
        <v>4.5</v>
      </c>
      <c r="J320" s="95"/>
      <c r="K320" s="96"/>
    </row>
    <row r="321" spans="2:11" x14ac:dyDescent="0.3">
      <c r="B321" s="98">
        <v>45971</v>
      </c>
      <c r="C321" s="30" t="s">
        <v>122</v>
      </c>
      <c r="D321" s="167">
        <v>13</v>
      </c>
      <c r="E321" s="99" t="str">
        <f>+IF(D321&gt;0,VLOOKUP(D321,'Código Tambos'!$B$2:$C$6,2,TRUE),0)</f>
        <v>Estancia Aleluya</v>
      </c>
      <c r="F321" s="100">
        <v>8038</v>
      </c>
      <c r="G321" s="101"/>
      <c r="H321" s="101"/>
      <c r="I321" s="99">
        <v>4.9000000000000004</v>
      </c>
      <c r="J321" s="99"/>
      <c r="K321" s="100"/>
    </row>
    <row r="322" spans="2:11" x14ac:dyDescent="0.3">
      <c r="B322" s="84">
        <v>45972</v>
      </c>
      <c r="C322" s="32" t="s">
        <v>123</v>
      </c>
      <c r="D322" s="159">
        <v>11</v>
      </c>
      <c r="E322" s="72" t="str">
        <f>+IF(D322&gt;0,VLOOKUP(D322,'Código Tambos'!$B$2:$C$6,2,TRUE),0)</f>
        <v>Don Enrique (Amalina)</v>
      </c>
      <c r="F322" s="74">
        <v>10177</v>
      </c>
      <c r="G322" s="73">
        <v>25062</v>
      </c>
      <c r="H322" s="73">
        <f>+G322-SUM(F322:F323)</f>
        <v>685</v>
      </c>
      <c r="I322" s="72">
        <v>2.6</v>
      </c>
      <c r="J322" s="72"/>
      <c r="K322" s="74"/>
    </row>
    <row r="323" spans="2:11" x14ac:dyDescent="0.3">
      <c r="B323" s="86">
        <v>45972</v>
      </c>
      <c r="C323" s="76" t="s">
        <v>123</v>
      </c>
      <c r="D323" s="160">
        <v>10</v>
      </c>
      <c r="E323" s="77" t="str">
        <f>+IF(D323&gt;0,VLOOKUP(D323,'Código Tambos'!$B$2:$C$6,2,TRUE),0)</f>
        <v>Huaca Hue</v>
      </c>
      <c r="F323" s="79">
        <v>14200</v>
      </c>
      <c r="G323" s="78"/>
      <c r="H323" s="78"/>
      <c r="I323" s="77">
        <v>5.4</v>
      </c>
      <c r="J323" s="77"/>
      <c r="K323" s="79"/>
    </row>
    <row r="324" spans="2:11" x14ac:dyDescent="0.3">
      <c r="B324" s="90">
        <v>45973</v>
      </c>
      <c r="C324" s="28" t="s">
        <v>124</v>
      </c>
      <c r="D324" s="165">
        <v>13</v>
      </c>
      <c r="E324" s="91" t="str">
        <f>+IF(D324&gt;0,VLOOKUP(D324,'Código Tambos'!$B$2:$C$6,2,TRUE),0)</f>
        <v>Estancia Aleluya</v>
      </c>
      <c r="F324" s="92">
        <v>8724</v>
      </c>
      <c r="G324" s="93">
        <v>24276</v>
      </c>
      <c r="H324" s="93">
        <f>+G324-SUM(F324:F326)</f>
        <v>-43</v>
      </c>
      <c r="I324" s="91">
        <v>4.5</v>
      </c>
      <c r="J324" s="91"/>
      <c r="K324" s="92"/>
    </row>
    <row r="325" spans="2:11" x14ac:dyDescent="0.3">
      <c r="B325" s="94">
        <v>45973</v>
      </c>
      <c r="C325" s="37" t="s">
        <v>124</v>
      </c>
      <c r="D325" s="166">
        <v>10</v>
      </c>
      <c r="E325" s="95" t="str">
        <f>+IF(D325&gt;0,VLOOKUP(D325,'Código Tambos'!$B$2:$C$6,2,TRUE),0)</f>
        <v>Huaca Hue</v>
      </c>
      <c r="F325" s="96">
        <v>5324</v>
      </c>
      <c r="G325" s="97"/>
      <c r="H325" s="97"/>
      <c r="I325" s="95">
        <v>4.4000000000000004</v>
      </c>
      <c r="J325" s="95"/>
      <c r="K325" s="96"/>
    </row>
    <row r="326" spans="2:11" x14ac:dyDescent="0.3">
      <c r="B326" s="98">
        <v>45973</v>
      </c>
      <c r="C326" s="30" t="s">
        <v>124</v>
      </c>
      <c r="D326" s="167">
        <v>11</v>
      </c>
      <c r="E326" s="99" t="str">
        <f>+IF(D326&gt;0,VLOOKUP(D326,'Código Tambos'!$B$2:$C$6,2,TRUE),0)</f>
        <v>Don Enrique (Amalina)</v>
      </c>
      <c r="F326" s="100">
        <v>10271</v>
      </c>
      <c r="G326" s="101"/>
      <c r="H326" s="101"/>
      <c r="I326" s="99">
        <v>3.2</v>
      </c>
      <c r="J326" s="99"/>
      <c r="K326" s="100"/>
    </row>
    <row r="327" spans="2:11" ht="13.8" customHeight="1" x14ac:dyDescent="0.3">
      <c r="B327" s="84">
        <v>45977</v>
      </c>
      <c r="C327" s="32" t="s">
        <v>125</v>
      </c>
      <c r="D327" s="159">
        <v>13</v>
      </c>
      <c r="E327" s="72" t="str">
        <f>+IF(D327&gt;0,VLOOKUP(D327,'Código Tambos'!$B$2:$C$6,2,TRUE),0)</f>
        <v>Estancia Aleluya</v>
      </c>
      <c r="F327" s="74">
        <v>8169</v>
      </c>
      <c r="G327" s="73">
        <v>28290</v>
      </c>
      <c r="H327" s="73">
        <f>+G327-SUM(F327:F329)</f>
        <v>-3</v>
      </c>
      <c r="I327" s="72">
        <v>4.7</v>
      </c>
      <c r="J327" s="72"/>
      <c r="K327" s="74"/>
    </row>
    <row r="328" spans="2:11" ht="13.8" customHeight="1" x14ac:dyDescent="0.3">
      <c r="B328" s="86">
        <v>45977</v>
      </c>
      <c r="C328" s="76" t="s">
        <v>125</v>
      </c>
      <c r="D328" s="160">
        <v>10</v>
      </c>
      <c r="E328" s="77" t="str">
        <f>+IF(D328&gt;0,VLOOKUP(D328,'Código Tambos'!$B$2:$C$6,2,TRUE),0)</f>
        <v>Huaca Hue</v>
      </c>
      <c r="F328" s="79">
        <v>10507</v>
      </c>
      <c r="G328" s="78"/>
      <c r="H328" s="78"/>
      <c r="I328" s="77">
        <v>4.7</v>
      </c>
      <c r="J328" s="77"/>
      <c r="K328" s="79"/>
    </row>
    <row r="329" spans="2:11" ht="13.8" customHeight="1" x14ac:dyDescent="0.3">
      <c r="B329" s="88">
        <v>45977</v>
      </c>
      <c r="C329" s="33" t="s">
        <v>125</v>
      </c>
      <c r="D329" s="161">
        <v>11</v>
      </c>
      <c r="E329" s="81" t="str">
        <f>+IF(D329&gt;0,VLOOKUP(D329,'Código Tambos'!$B$2:$C$6,2,TRUE),0)</f>
        <v>Don Enrique (Amalina)</v>
      </c>
      <c r="F329" s="83">
        <v>9617</v>
      </c>
      <c r="G329" s="82"/>
      <c r="H329" s="82"/>
      <c r="I329" s="81">
        <v>3.1</v>
      </c>
      <c r="J329" s="81"/>
      <c r="K329" s="83"/>
    </row>
    <row r="330" spans="2:11" ht="13.8" customHeight="1" x14ac:dyDescent="0.3">
      <c r="B330" s="90">
        <v>45978</v>
      </c>
      <c r="C330" s="28" t="s">
        <v>126</v>
      </c>
      <c r="D330" s="165">
        <v>10</v>
      </c>
      <c r="E330" s="91" t="str">
        <f>+IF(D330&gt;0,VLOOKUP(D330,'Código Tambos'!$B$2:$C$6,2,TRUE),0)</f>
        <v>Huaca Hue</v>
      </c>
      <c r="F330" s="92">
        <v>9469</v>
      </c>
      <c r="G330" s="93">
        <f>20174+7610</f>
        <v>27784</v>
      </c>
      <c r="H330" s="93">
        <f>+G330-SUM(F330:F332)</f>
        <v>-64</v>
      </c>
      <c r="I330" s="91">
        <v>3.1</v>
      </c>
      <c r="J330" s="91"/>
      <c r="K330" s="92"/>
    </row>
    <row r="331" spans="2:11" ht="13.8" customHeight="1" x14ac:dyDescent="0.3">
      <c r="B331" s="94">
        <v>45978</v>
      </c>
      <c r="C331" s="37" t="s">
        <v>126</v>
      </c>
      <c r="D331" s="166">
        <v>11</v>
      </c>
      <c r="E331" s="95" t="str">
        <f>+IF(D331&gt;0,VLOOKUP(D331,'Código Tambos'!$B$2:$C$6,2,TRUE),0)</f>
        <v>Don Enrique (Amalina)</v>
      </c>
      <c r="F331" s="96">
        <v>10922</v>
      </c>
      <c r="G331" s="97"/>
      <c r="H331" s="97"/>
      <c r="I331" s="95">
        <v>3.1</v>
      </c>
      <c r="J331" s="95"/>
      <c r="K331" s="96"/>
    </row>
    <row r="332" spans="2:11" ht="13.8" customHeight="1" x14ac:dyDescent="0.3">
      <c r="B332" s="98">
        <v>45978</v>
      </c>
      <c r="C332" s="30" t="s">
        <v>127</v>
      </c>
      <c r="D332" s="167">
        <v>13</v>
      </c>
      <c r="E332" s="99" t="str">
        <f>+IF(D332&gt;0,VLOOKUP(D332,'Código Tambos'!$B$2:$C$6,2,TRUE),0)</f>
        <v>Estancia Aleluya</v>
      </c>
      <c r="F332" s="100">
        <v>7457</v>
      </c>
      <c r="G332" s="101"/>
      <c r="H332" s="101"/>
      <c r="I332" s="99">
        <v>3.9</v>
      </c>
      <c r="J332" s="99"/>
      <c r="K332" s="100"/>
    </row>
    <row r="333" spans="2:11" ht="13.8" customHeight="1" x14ac:dyDescent="0.3">
      <c r="B333" s="84">
        <v>45979</v>
      </c>
      <c r="C333" s="32" t="s">
        <v>128</v>
      </c>
      <c r="D333" s="159">
        <v>10</v>
      </c>
      <c r="E333" s="72" t="str">
        <f>+IF(D333&gt;0,VLOOKUP(D333,'Código Tambos'!$B$2:$C$6,2,TRUE),0)</f>
        <v>Huaca Hue</v>
      </c>
      <c r="F333" s="74">
        <v>10368</v>
      </c>
      <c r="G333" s="73">
        <v>19782</v>
      </c>
      <c r="H333" s="73">
        <f>+G333-SUM(F333:F334)</f>
        <v>-736</v>
      </c>
      <c r="I333" s="72">
        <v>4.5</v>
      </c>
      <c r="J333" s="72"/>
      <c r="K333" s="74"/>
    </row>
    <row r="334" spans="2:11" ht="13.8" customHeight="1" x14ac:dyDescent="0.3">
      <c r="B334" s="86">
        <v>45979</v>
      </c>
      <c r="C334" s="76" t="s">
        <v>128</v>
      </c>
      <c r="D334" s="160">
        <v>11</v>
      </c>
      <c r="E334" s="77" t="str">
        <f>+IF(D334&gt;0,VLOOKUP(D334,'Código Tambos'!$B$2:$C$6,2,TRUE),0)</f>
        <v>Don Enrique (Amalina)</v>
      </c>
      <c r="F334" s="79">
        <v>10150</v>
      </c>
      <c r="G334" s="78"/>
      <c r="H334" s="78"/>
      <c r="I334" s="77">
        <v>2.2000000000000002</v>
      </c>
      <c r="J334" s="77"/>
      <c r="K334" s="79"/>
    </row>
    <row r="335" spans="2:11" ht="13.8" customHeight="1" x14ac:dyDescent="0.3">
      <c r="B335" s="90">
        <v>45984</v>
      </c>
      <c r="C335" s="28" t="s">
        <v>129</v>
      </c>
      <c r="D335" s="165">
        <v>13</v>
      </c>
      <c r="E335" s="91" t="str">
        <f>+IF(D335&gt;0,VLOOKUP(D335,'Código Tambos'!$B$2:$C$6,2,TRUE),0)</f>
        <v>Estancia Aleluya</v>
      </c>
      <c r="F335" s="92">
        <v>7311</v>
      </c>
      <c r="G335" s="93">
        <v>27418</v>
      </c>
      <c r="H335" s="93">
        <f>+G335-SUM(F335:F337)</f>
        <v>33</v>
      </c>
      <c r="I335" s="91">
        <v>4.5</v>
      </c>
      <c r="J335" s="91"/>
      <c r="K335" s="92"/>
    </row>
    <row r="336" spans="2:11" ht="13.8" customHeight="1" x14ac:dyDescent="0.3">
      <c r="B336" s="94">
        <v>45985</v>
      </c>
      <c r="C336" s="37" t="s">
        <v>130</v>
      </c>
      <c r="D336" s="166">
        <v>10</v>
      </c>
      <c r="E336" s="95" t="str">
        <f>+IF(D336&gt;0,VLOOKUP(D336,'Código Tambos'!$B$2:$C$6,2,TRUE),0)</f>
        <v>Huaca Hue</v>
      </c>
      <c r="F336" s="96">
        <v>10982</v>
      </c>
      <c r="G336" s="97"/>
      <c r="H336" s="97"/>
      <c r="I336" s="95">
        <v>4</v>
      </c>
      <c r="J336" s="95"/>
      <c r="K336" s="96"/>
    </row>
    <row r="337" spans="2:11" ht="13.8" customHeight="1" x14ac:dyDescent="0.3">
      <c r="B337" s="98">
        <v>45985</v>
      </c>
      <c r="C337" s="30" t="s">
        <v>130</v>
      </c>
      <c r="D337" s="167">
        <v>11</v>
      </c>
      <c r="E337" s="99" t="str">
        <f>+IF(D337&gt;0,VLOOKUP(D337,'Código Tambos'!$B$2:$C$6,2,TRUE),0)</f>
        <v>Don Enrique (Amalina)</v>
      </c>
      <c r="F337" s="100">
        <v>9092</v>
      </c>
      <c r="G337" s="101"/>
      <c r="H337" s="101"/>
      <c r="I337" s="99">
        <v>2.8</v>
      </c>
      <c r="J337" s="99"/>
      <c r="K337" s="100"/>
    </row>
    <row r="338" spans="2:11" ht="13.8" customHeight="1" x14ac:dyDescent="0.3">
      <c r="B338" s="84">
        <v>45985</v>
      </c>
      <c r="C338" s="32" t="s">
        <v>131</v>
      </c>
      <c r="D338" s="159">
        <v>13</v>
      </c>
      <c r="E338" s="72" t="str">
        <f>+IF(D338&gt;0,VLOOKUP(D338,'Código Tambos'!$B$2:$C$6,2,TRUE),0)</f>
        <v>Estancia Aleluya</v>
      </c>
      <c r="F338" s="74">
        <v>7136</v>
      </c>
      <c r="G338" s="73">
        <v>28266</v>
      </c>
      <c r="H338" s="73">
        <f>+G338-SUM(F338:F340)</f>
        <v>71</v>
      </c>
      <c r="I338" s="72">
        <v>4.5999999999999996</v>
      </c>
      <c r="J338" s="72"/>
      <c r="K338" s="74"/>
    </row>
    <row r="339" spans="2:11" ht="13.8" customHeight="1" x14ac:dyDescent="0.3">
      <c r="B339" s="86">
        <v>45986</v>
      </c>
      <c r="C339" s="76" t="s">
        <v>132</v>
      </c>
      <c r="D339" s="160">
        <v>10</v>
      </c>
      <c r="E339" s="77" t="str">
        <f>+IF(D339&gt;0,VLOOKUP(D339,'Código Tambos'!$B$2:$C$6,2,TRUE),0)</f>
        <v>Huaca Hue</v>
      </c>
      <c r="F339" s="79">
        <v>11443</v>
      </c>
      <c r="G339" s="78"/>
      <c r="H339" s="78"/>
      <c r="I339" s="77">
        <v>4.3</v>
      </c>
      <c r="J339" s="77"/>
      <c r="K339" s="79"/>
    </row>
    <row r="340" spans="2:11" ht="13.8" customHeight="1" x14ac:dyDescent="0.3">
      <c r="B340" s="88">
        <v>45986</v>
      </c>
      <c r="C340" s="33" t="s">
        <v>132</v>
      </c>
      <c r="D340" s="161">
        <v>11</v>
      </c>
      <c r="E340" s="81" t="str">
        <f>+IF(D340&gt;0,VLOOKUP(D340,'Código Tambos'!$B$2:$C$6,2,TRUE),0)</f>
        <v>Don Enrique (Amalina)</v>
      </c>
      <c r="F340" s="83">
        <v>9616</v>
      </c>
      <c r="G340" s="82"/>
      <c r="H340" s="82"/>
      <c r="I340" s="81">
        <v>2.8</v>
      </c>
      <c r="J340" s="81"/>
      <c r="K340" s="83"/>
    </row>
    <row r="341" spans="2:11" ht="13.8" customHeight="1" x14ac:dyDescent="0.3">
      <c r="B341" s="90">
        <v>45986</v>
      </c>
      <c r="C341" s="28" t="s">
        <v>133</v>
      </c>
      <c r="D341" s="165">
        <v>13</v>
      </c>
      <c r="E341" s="91" t="str">
        <f>+IF(D341&gt;0,VLOOKUP(D341,'Código Tambos'!$B$2:$C$6,2,TRUE),0)</f>
        <v>Estancia Aleluya</v>
      </c>
      <c r="F341" s="92">
        <v>7013</v>
      </c>
      <c r="G341" s="93">
        <v>28012</v>
      </c>
      <c r="H341" s="93">
        <f>+G341-SUM(F341:F343)</f>
        <v>47</v>
      </c>
      <c r="I341" s="91">
        <v>3.7</v>
      </c>
      <c r="J341" s="91"/>
      <c r="K341" s="92"/>
    </row>
    <row r="342" spans="2:11" ht="13.8" customHeight="1" x14ac:dyDescent="0.3">
      <c r="B342" s="94">
        <v>45987</v>
      </c>
      <c r="C342" s="37" t="s">
        <v>134</v>
      </c>
      <c r="D342" s="166">
        <v>10</v>
      </c>
      <c r="E342" s="95" t="str">
        <f>+IF(D342&gt;0,VLOOKUP(D342,'Código Tambos'!$B$2:$C$6,2,TRUE),0)</f>
        <v>Huaca Hue</v>
      </c>
      <c r="F342" s="96">
        <v>11150</v>
      </c>
      <c r="G342" s="97"/>
      <c r="H342" s="97"/>
      <c r="I342" s="95">
        <v>4.0999999999999996</v>
      </c>
      <c r="J342" s="95"/>
      <c r="K342" s="96"/>
    </row>
    <row r="343" spans="2:11" ht="13.8" customHeight="1" x14ac:dyDescent="0.3">
      <c r="B343" s="98">
        <v>45987</v>
      </c>
      <c r="C343" s="30" t="s">
        <v>134</v>
      </c>
      <c r="D343" s="167">
        <v>11</v>
      </c>
      <c r="E343" s="99" t="str">
        <f>+IF(D343&gt;0,VLOOKUP(D343,'Código Tambos'!$B$2:$C$6,2,TRUE),0)</f>
        <v>Don Enrique (Amalina)</v>
      </c>
      <c r="F343" s="100">
        <v>9802</v>
      </c>
      <c r="G343" s="101"/>
      <c r="H343" s="101"/>
      <c r="I343" s="99">
        <v>3.4</v>
      </c>
      <c r="J343" s="99"/>
      <c r="K343" s="100"/>
    </row>
    <row r="344" spans="2:11" ht="13.8" customHeight="1" x14ac:dyDescent="0.3">
      <c r="B344" s="84">
        <v>45990</v>
      </c>
      <c r="C344" s="32" t="s">
        <v>135</v>
      </c>
      <c r="D344" s="159">
        <v>13</v>
      </c>
      <c r="E344" s="72" t="str">
        <f>+IF(D344&gt;0,VLOOKUP(D344,'Código Tambos'!$B$2:$C$6,2,TRUE),0)</f>
        <v>Estancia Aleluya</v>
      </c>
      <c r="F344" s="74">
        <v>7079</v>
      </c>
      <c r="G344" s="73">
        <f>6878+20708</f>
        <v>27586</v>
      </c>
      <c r="H344" s="73">
        <f>+G344-SUM(F344:F346)</f>
        <v>36</v>
      </c>
      <c r="I344" s="72">
        <v>4.0999999999999996</v>
      </c>
      <c r="J344" s="72"/>
      <c r="K344" s="74"/>
    </row>
    <row r="345" spans="2:11" x14ac:dyDescent="0.3">
      <c r="B345" s="86">
        <v>45991</v>
      </c>
      <c r="C345" s="76" t="s">
        <v>136</v>
      </c>
      <c r="D345" s="160">
        <v>10</v>
      </c>
      <c r="E345" s="77" t="str">
        <f>+IF(D345&gt;0,VLOOKUP(D345,'Código Tambos'!$B$2:$C$6,2,TRUE),0)</f>
        <v>Huaca Hue</v>
      </c>
      <c r="F345" s="79">
        <v>10605</v>
      </c>
      <c r="G345" s="78"/>
      <c r="H345" s="78"/>
      <c r="I345" s="77">
        <v>4</v>
      </c>
      <c r="J345" s="77"/>
      <c r="K345" s="79"/>
    </row>
    <row r="346" spans="2:11" x14ac:dyDescent="0.3">
      <c r="B346" s="88">
        <v>45991</v>
      </c>
      <c r="C346" s="33" t="s">
        <v>136</v>
      </c>
      <c r="D346" s="161">
        <v>11</v>
      </c>
      <c r="E346" s="81" t="str">
        <f>+IF(D346&gt;0,VLOOKUP(D346,'Código Tambos'!$B$2:$C$6,2,TRUE),0)</f>
        <v>Don Enrique (Amalina)</v>
      </c>
      <c r="F346" s="83">
        <v>9866</v>
      </c>
      <c r="G346" s="82"/>
      <c r="H346" s="82"/>
      <c r="I346" s="81">
        <v>2.7</v>
      </c>
      <c r="J346" s="81"/>
      <c r="K346" s="83"/>
    </row>
    <row r="347" spans="2:11" x14ac:dyDescent="0.3">
      <c r="B347" s="90">
        <v>45991</v>
      </c>
      <c r="C347" s="28" t="s">
        <v>137</v>
      </c>
      <c r="D347" s="165">
        <v>21</v>
      </c>
      <c r="E347" s="91" t="str">
        <f>+VLOOKUP(D347,'Código Tambos'!B:C,2)</f>
        <v>Brivio Eduardo (TBR)</v>
      </c>
      <c r="F347" s="92">
        <v>2516</v>
      </c>
      <c r="G347" s="93">
        <v>9498</v>
      </c>
      <c r="H347" s="93">
        <f>+G347-SUM(F347:F348)</f>
        <v>-177</v>
      </c>
      <c r="I347" s="91">
        <v>4.5</v>
      </c>
      <c r="J347" s="91"/>
      <c r="K347" s="92"/>
    </row>
    <row r="348" spans="2:11" x14ac:dyDescent="0.3">
      <c r="B348" s="94">
        <v>45991</v>
      </c>
      <c r="C348" s="37" t="s">
        <v>137</v>
      </c>
      <c r="D348" s="166">
        <v>13</v>
      </c>
      <c r="E348" s="95" t="str">
        <f>+IF(D348&gt;0,VLOOKUP(D348,'Código Tambos'!$B$2:$C$6,2,TRUE),0)</f>
        <v>Estancia Aleluya</v>
      </c>
      <c r="F348" s="96">
        <v>7159</v>
      </c>
      <c r="G348" s="97"/>
      <c r="H348" s="97"/>
      <c r="I348" s="95">
        <v>3.8</v>
      </c>
      <c r="J348" s="95"/>
      <c r="K348" s="96"/>
    </row>
    <row r="349" spans="2:11" x14ac:dyDescent="0.3">
      <c r="B349" s="84">
        <v>45992</v>
      </c>
      <c r="C349" s="32" t="s">
        <v>138</v>
      </c>
      <c r="D349" s="159">
        <v>21</v>
      </c>
      <c r="E349" s="72" t="str">
        <f>+VLOOKUP(D347,'Código Tambos'!B:C,2)</f>
        <v>Brivio Eduardo (TBR)</v>
      </c>
      <c r="F349" s="74">
        <v>4659</v>
      </c>
      <c r="G349" s="73">
        <v>11806</v>
      </c>
      <c r="H349" s="73">
        <f>+G349-SUM(F349:F350)</f>
        <v>-158</v>
      </c>
      <c r="I349" s="72">
        <v>4.3</v>
      </c>
      <c r="J349" s="72"/>
      <c r="K349" s="74"/>
    </row>
    <row r="350" spans="2:11" x14ac:dyDescent="0.3">
      <c r="B350" s="88">
        <v>45992</v>
      </c>
      <c r="C350" s="33" t="s">
        <v>138</v>
      </c>
      <c r="D350" s="161">
        <v>13</v>
      </c>
      <c r="E350" s="81" t="str">
        <f>+IF(D350&gt;0,VLOOKUP(D350,'Código Tambos'!$B$2:$C$6,2,TRUE),0)</f>
        <v>Estancia Aleluya</v>
      </c>
      <c r="F350" s="83">
        <v>7305</v>
      </c>
      <c r="G350" s="82"/>
      <c r="H350" s="82"/>
      <c r="I350" s="81">
        <v>3.6</v>
      </c>
      <c r="J350" s="81"/>
      <c r="K350" s="83"/>
    </row>
    <row r="351" spans="2:11" x14ac:dyDescent="0.3">
      <c r="B351" s="90">
        <v>45992</v>
      </c>
      <c r="C351" s="28" t="s">
        <v>139</v>
      </c>
      <c r="D351" s="165">
        <v>10</v>
      </c>
      <c r="E351" s="91" t="str">
        <f>+IF(D351&gt;0,VLOOKUP(D351,'Código Tambos'!$B$2:$C$6,2,TRUE),0)</f>
        <v>Huaca Hue</v>
      </c>
      <c r="F351" s="92">
        <v>10508</v>
      </c>
      <c r="G351" s="93">
        <v>20098</v>
      </c>
      <c r="H351" s="93">
        <f>+G351-SUM(F351:F352)</f>
        <v>19</v>
      </c>
      <c r="I351" s="91">
        <v>3.7</v>
      </c>
      <c r="J351" s="91"/>
      <c r="K351" s="92"/>
    </row>
    <row r="352" spans="2:11" x14ac:dyDescent="0.3">
      <c r="B352" s="98">
        <v>45992</v>
      </c>
      <c r="C352" s="30" t="s">
        <v>139</v>
      </c>
      <c r="D352" s="167">
        <v>11</v>
      </c>
      <c r="E352" s="99" t="str">
        <f>+IF(D352&gt;0,VLOOKUP(D352,'Código Tambos'!$B$2:$C$6,2,TRUE),0)</f>
        <v>Don Enrique (Amalina)</v>
      </c>
      <c r="F352" s="100">
        <v>9571</v>
      </c>
      <c r="G352" s="101"/>
      <c r="H352" s="101"/>
      <c r="I352" s="99">
        <v>4.0999999999999996</v>
      </c>
      <c r="J352" s="99"/>
      <c r="K352" s="100"/>
    </row>
    <row r="353" spans="2:18" x14ac:dyDescent="0.3">
      <c r="B353" s="84">
        <v>45993</v>
      </c>
      <c r="C353" s="32" t="s">
        <v>140</v>
      </c>
      <c r="D353" s="159">
        <v>10</v>
      </c>
      <c r="E353" s="72" t="str">
        <f>+IF(D353&gt;0,VLOOKUP(D353,'Código Tambos'!$B$2:$C$6,2,TRUE),0)</f>
        <v>Huaca Hue</v>
      </c>
      <c r="F353" s="74">
        <v>10702</v>
      </c>
      <c r="G353" s="73">
        <f>4566+20524</f>
        <v>25090</v>
      </c>
      <c r="H353" s="73">
        <f>+G353-SUM(F353:F355)</f>
        <v>-285</v>
      </c>
      <c r="I353" s="72">
        <v>4.3</v>
      </c>
      <c r="J353" s="72"/>
      <c r="K353" s="74"/>
    </row>
    <row r="354" spans="2:18" x14ac:dyDescent="0.3">
      <c r="B354" s="86">
        <v>45993</v>
      </c>
      <c r="C354" s="76" t="s">
        <v>140</v>
      </c>
      <c r="D354" s="160">
        <v>11</v>
      </c>
      <c r="E354" s="77" t="str">
        <f>+IF(D354&gt;0,VLOOKUP(D354,'Código Tambos'!$B$2:$C$6,2,TRUE),0)</f>
        <v>Don Enrique (Amalina)</v>
      </c>
      <c r="F354" s="79">
        <v>9873</v>
      </c>
      <c r="G354" s="78"/>
      <c r="H354" s="78"/>
      <c r="I354" s="77">
        <v>2.6</v>
      </c>
      <c r="J354" s="77"/>
      <c r="K354" s="79"/>
    </row>
    <row r="355" spans="2:18" x14ac:dyDescent="0.3">
      <c r="B355" s="88">
        <v>45993</v>
      </c>
      <c r="C355" s="33" t="s">
        <v>141</v>
      </c>
      <c r="D355" s="161">
        <v>21</v>
      </c>
      <c r="E355" s="81" t="str">
        <f>+VLOOKUP(D347,'Código Tambos'!B:C,2)</f>
        <v>Brivio Eduardo (TBR)</v>
      </c>
      <c r="F355" s="83">
        <v>4800</v>
      </c>
      <c r="G355" s="82"/>
      <c r="H355" s="82"/>
      <c r="I355" s="81">
        <v>3.1</v>
      </c>
      <c r="J355" s="81"/>
      <c r="K355" s="83"/>
    </row>
    <row r="356" spans="2:18" x14ac:dyDescent="0.3">
      <c r="B356" s="103">
        <v>45994</v>
      </c>
      <c r="C356" s="24" t="s">
        <v>142</v>
      </c>
      <c r="D356" s="171">
        <v>21</v>
      </c>
      <c r="E356" s="23" t="str">
        <f>+VLOOKUP(D347,'Código Tambos'!B:C,2)</f>
        <v>Brivio Eduardo (TBR)</v>
      </c>
      <c r="F356" s="104">
        <v>5440</v>
      </c>
      <c r="G356" s="105">
        <v>4578</v>
      </c>
      <c r="H356" s="105">
        <f>+G356-SUM(F356:F356)</f>
        <v>-862</v>
      </c>
      <c r="I356" s="104">
        <v>3.6</v>
      </c>
      <c r="J356" s="23"/>
      <c r="K356" s="104"/>
    </row>
    <row r="357" spans="2:18" x14ac:dyDescent="0.3">
      <c r="B357" s="84">
        <v>45999</v>
      </c>
      <c r="C357" s="32" t="s">
        <v>143</v>
      </c>
      <c r="D357" s="159">
        <v>13</v>
      </c>
      <c r="E357" s="72" t="str">
        <f>+IF(D357&gt;0,VLOOKUP(D357,'Código Tambos'!$B$2:$C$6,2,TRUE),0)</f>
        <v>Estancia Aleluya</v>
      </c>
      <c r="F357" s="74">
        <v>7431</v>
      </c>
      <c r="G357" s="73">
        <v>11534</v>
      </c>
      <c r="H357" s="73">
        <f>+G357-SUM(F357:F358)</f>
        <v>-168</v>
      </c>
      <c r="I357" s="74">
        <v>3.1</v>
      </c>
      <c r="J357" s="72"/>
      <c r="K357" s="74"/>
    </row>
    <row r="358" spans="2:18" x14ac:dyDescent="0.3">
      <c r="B358" s="88">
        <v>45999</v>
      </c>
      <c r="C358" s="33" t="s">
        <v>143</v>
      </c>
      <c r="D358" s="161">
        <v>21</v>
      </c>
      <c r="E358" s="81" t="str">
        <f>+VLOOKUP(D347,'Código Tambos'!B:C,2)</f>
        <v>Brivio Eduardo (TBR)</v>
      </c>
      <c r="F358" s="83">
        <v>4271</v>
      </c>
      <c r="G358" s="82"/>
      <c r="H358" s="82"/>
      <c r="I358" s="83">
        <v>3.6</v>
      </c>
      <c r="J358" s="81"/>
      <c r="K358" s="83"/>
    </row>
    <row r="359" spans="2:18" x14ac:dyDescent="0.3">
      <c r="B359" s="90">
        <v>46000</v>
      </c>
      <c r="C359" s="28" t="s">
        <v>144</v>
      </c>
      <c r="D359" s="165">
        <v>11</v>
      </c>
      <c r="E359" s="91" t="str">
        <f>+IF(D359&gt;0,VLOOKUP(D359,'Código Tambos'!$B$2:$C$6,2,TRUE),0)</f>
        <v>Don Enrique (Amalina)</v>
      </c>
      <c r="F359" s="92">
        <v>9275</v>
      </c>
      <c r="G359" s="93">
        <f>18430+14380</f>
        <v>32810</v>
      </c>
      <c r="H359" s="93">
        <f>+G359-SUM(F359:F362)</f>
        <v>-115</v>
      </c>
      <c r="I359" s="91">
        <v>4.5</v>
      </c>
      <c r="J359" s="91"/>
      <c r="K359" s="92"/>
      <c r="O359" s="106"/>
      <c r="P359" s="106"/>
      <c r="Q359" s="106"/>
      <c r="R359" s="106"/>
    </row>
    <row r="360" spans="2:18" x14ac:dyDescent="0.3">
      <c r="B360" s="94">
        <v>46000</v>
      </c>
      <c r="C360" s="37" t="s">
        <v>144</v>
      </c>
      <c r="D360" s="166">
        <v>10</v>
      </c>
      <c r="E360" s="95" t="s">
        <v>8</v>
      </c>
      <c r="F360" s="96">
        <v>9270</v>
      </c>
      <c r="G360" s="97"/>
      <c r="H360" s="97"/>
      <c r="I360" s="95">
        <v>2.7</v>
      </c>
      <c r="J360" s="95"/>
      <c r="K360" s="96"/>
      <c r="O360" s="66"/>
      <c r="P360" s="66"/>
    </row>
    <row r="361" spans="2:18" x14ac:dyDescent="0.3">
      <c r="B361" s="94">
        <v>46000</v>
      </c>
      <c r="C361" s="37" t="s">
        <v>145</v>
      </c>
      <c r="D361" s="166">
        <v>21</v>
      </c>
      <c r="E361" s="95" t="str">
        <f>+VLOOKUP(D347,'Código Tambos'!B:C,2)</f>
        <v>Brivio Eduardo (TBR)</v>
      </c>
      <c r="F361" s="96">
        <v>7150</v>
      </c>
      <c r="G361" s="97"/>
      <c r="H361" s="97"/>
      <c r="I361" s="95">
        <v>2.8</v>
      </c>
      <c r="J361" s="95"/>
      <c r="K361" s="96"/>
      <c r="O361" s="66"/>
      <c r="P361" s="66"/>
    </row>
    <row r="362" spans="2:18" x14ac:dyDescent="0.3">
      <c r="B362" s="98">
        <v>46000</v>
      </c>
      <c r="C362" s="30" t="s">
        <v>145</v>
      </c>
      <c r="D362" s="167">
        <v>13</v>
      </c>
      <c r="E362" s="99" t="s">
        <v>11</v>
      </c>
      <c r="F362" s="100">
        <v>7230</v>
      </c>
      <c r="G362" s="101"/>
      <c r="H362" s="101"/>
      <c r="I362" s="99">
        <v>3</v>
      </c>
      <c r="J362" s="99"/>
      <c r="K362" s="100"/>
      <c r="O362" s="66"/>
      <c r="P362" s="66"/>
    </row>
    <row r="363" spans="2:18" x14ac:dyDescent="0.3">
      <c r="B363" s="84">
        <v>46001</v>
      </c>
      <c r="C363" s="32" t="s">
        <v>146</v>
      </c>
      <c r="D363" s="159">
        <v>10</v>
      </c>
      <c r="E363" s="72" t="s">
        <v>8</v>
      </c>
      <c r="F363" s="74">
        <v>10025</v>
      </c>
      <c r="G363" s="73">
        <f>17750+4000</f>
        <v>21750</v>
      </c>
      <c r="H363" s="73">
        <f>+G363-SUM(F363:F365)</f>
        <v>-697</v>
      </c>
      <c r="I363" s="72">
        <v>3.6</v>
      </c>
      <c r="J363" s="72"/>
      <c r="K363" s="74"/>
      <c r="O363" s="66"/>
      <c r="P363" s="66"/>
    </row>
    <row r="364" spans="2:18" x14ac:dyDescent="0.3">
      <c r="B364" s="86">
        <v>46001</v>
      </c>
      <c r="C364" s="76" t="s">
        <v>146</v>
      </c>
      <c r="D364" s="160">
        <v>11</v>
      </c>
      <c r="E364" s="77" t="s">
        <v>10</v>
      </c>
      <c r="F364" s="79">
        <v>7725</v>
      </c>
      <c r="G364" s="78"/>
      <c r="H364" s="78"/>
      <c r="I364" s="77">
        <v>2.5</v>
      </c>
      <c r="J364" s="77"/>
      <c r="K364" s="79"/>
    </row>
    <row r="365" spans="2:18" x14ac:dyDescent="0.3">
      <c r="B365" s="88">
        <v>46001</v>
      </c>
      <c r="C365" s="33" t="s">
        <v>147</v>
      </c>
      <c r="D365" s="161">
        <v>21</v>
      </c>
      <c r="E365" s="81" t="str">
        <f>+VLOOKUP(D347,'Código Tambos'!B:C,2)</f>
        <v>Brivio Eduardo (TBR)</v>
      </c>
      <c r="F365" s="83">
        <v>4697</v>
      </c>
      <c r="G365" s="82"/>
      <c r="H365" s="82"/>
      <c r="I365" s="81">
        <v>3.4</v>
      </c>
      <c r="J365" s="81"/>
      <c r="K365" s="83"/>
    </row>
    <row r="366" spans="2:18" x14ac:dyDescent="0.3">
      <c r="B366" s="90">
        <v>46006</v>
      </c>
      <c r="C366" s="28" t="s">
        <v>148</v>
      </c>
      <c r="D366" s="165">
        <v>21</v>
      </c>
      <c r="E366" s="91" t="str">
        <f>+VLOOKUP(D347,'Código Tambos'!B:C,2)</f>
        <v>Brivio Eduardo (TBR)</v>
      </c>
      <c r="F366" s="92">
        <v>1944</v>
      </c>
      <c r="G366" s="93">
        <v>8764</v>
      </c>
      <c r="H366" s="93">
        <f>+G366-SUM(F366:F367)</f>
        <v>-83</v>
      </c>
      <c r="I366" s="91">
        <v>2.4</v>
      </c>
      <c r="J366" s="91"/>
      <c r="K366" s="92"/>
    </row>
    <row r="367" spans="2:18" x14ac:dyDescent="0.3">
      <c r="B367" s="98">
        <v>46006</v>
      </c>
      <c r="C367" s="30" t="s">
        <v>148</v>
      </c>
      <c r="D367" s="167">
        <v>13</v>
      </c>
      <c r="E367" s="99" t="s">
        <v>11</v>
      </c>
      <c r="F367" s="100">
        <v>6903</v>
      </c>
      <c r="G367" s="101"/>
      <c r="H367" s="101"/>
      <c r="I367" s="99">
        <v>3.5</v>
      </c>
      <c r="J367" s="99"/>
      <c r="K367" s="100"/>
    </row>
    <row r="368" spans="2:18" x14ac:dyDescent="0.3">
      <c r="B368" s="84">
        <v>46007</v>
      </c>
      <c r="C368" s="32" t="s">
        <v>149</v>
      </c>
      <c r="D368" s="159">
        <v>10</v>
      </c>
      <c r="E368" s="72" t="s">
        <v>8</v>
      </c>
      <c r="F368" s="74">
        <v>9032</v>
      </c>
      <c r="G368" s="73">
        <f>18496+11405</f>
        <v>29901</v>
      </c>
      <c r="H368" s="73">
        <f>+G368-SUM(F368:F371)</f>
        <v>26</v>
      </c>
      <c r="I368" s="72">
        <v>3.8</v>
      </c>
      <c r="J368" s="72"/>
      <c r="K368" s="74"/>
      <c r="O368" s="106"/>
      <c r="P368" s="106"/>
      <c r="Q368" s="106"/>
      <c r="R368" s="106"/>
    </row>
    <row r="369" spans="2:16" x14ac:dyDescent="0.3">
      <c r="B369" s="86">
        <v>46007</v>
      </c>
      <c r="C369" s="76" t="s">
        <v>149</v>
      </c>
      <c r="D369" s="160">
        <v>11</v>
      </c>
      <c r="E369" s="77" t="s">
        <v>10</v>
      </c>
      <c r="F369" s="79">
        <v>9438</v>
      </c>
      <c r="G369" s="78"/>
      <c r="H369" s="78"/>
      <c r="I369" s="77">
        <v>3</v>
      </c>
      <c r="J369" s="77"/>
      <c r="K369" s="79"/>
      <c r="O369" s="66"/>
      <c r="P369" s="66"/>
    </row>
    <row r="370" spans="2:16" x14ac:dyDescent="0.3">
      <c r="B370" s="86">
        <v>46007</v>
      </c>
      <c r="C370" s="76" t="s">
        <v>150</v>
      </c>
      <c r="D370" s="160">
        <v>21</v>
      </c>
      <c r="E370" s="77" t="str">
        <f>+VLOOKUP(D347,'Código Tambos'!B:C,2)</f>
        <v>Brivio Eduardo (TBR)</v>
      </c>
      <c r="F370" s="79">
        <v>4871</v>
      </c>
      <c r="G370" s="78"/>
      <c r="H370" s="78"/>
      <c r="I370" s="77">
        <v>2.5</v>
      </c>
      <c r="J370" s="77"/>
      <c r="K370" s="79"/>
      <c r="O370" s="66"/>
      <c r="P370" s="66"/>
    </row>
    <row r="371" spans="2:16" x14ac:dyDescent="0.3">
      <c r="B371" s="88">
        <v>46007</v>
      </c>
      <c r="C371" s="33" t="s">
        <v>150</v>
      </c>
      <c r="D371" s="161">
        <v>13</v>
      </c>
      <c r="E371" s="81" t="s">
        <v>11</v>
      </c>
      <c r="F371" s="83">
        <v>6534</v>
      </c>
      <c r="G371" s="82"/>
      <c r="H371" s="82"/>
      <c r="I371" s="81">
        <v>3</v>
      </c>
      <c r="J371" s="81"/>
      <c r="K371" s="83"/>
      <c r="O371" s="66"/>
      <c r="P371" s="66"/>
    </row>
    <row r="372" spans="2:16" x14ac:dyDescent="0.3">
      <c r="B372" s="90">
        <v>46008</v>
      </c>
      <c r="C372" s="28" t="s">
        <v>151</v>
      </c>
      <c r="D372" s="165">
        <v>10</v>
      </c>
      <c r="E372" s="91" t="s">
        <v>8</v>
      </c>
      <c r="F372" s="92">
        <v>9481</v>
      </c>
      <c r="G372" s="93">
        <f>18721+4463</f>
        <v>23184</v>
      </c>
      <c r="H372" s="93">
        <f>+G372-SUM(F372:F374)</f>
        <v>13</v>
      </c>
      <c r="I372" s="91">
        <v>4.5</v>
      </c>
      <c r="J372" s="91"/>
      <c r="K372" s="92"/>
      <c r="O372" s="66"/>
      <c r="P372" s="66"/>
    </row>
    <row r="373" spans="2:16" x14ac:dyDescent="0.3">
      <c r="B373" s="94">
        <v>46008</v>
      </c>
      <c r="C373" s="37" t="s">
        <v>151</v>
      </c>
      <c r="D373" s="166">
        <v>11</v>
      </c>
      <c r="E373" s="95" t="s">
        <v>10</v>
      </c>
      <c r="F373" s="96">
        <v>9240</v>
      </c>
      <c r="G373" s="97"/>
      <c r="H373" s="97"/>
      <c r="I373" s="95">
        <v>3</v>
      </c>
      <c r="J373" s="95"/>
      <c r="K373" s="96"/>
    </row>
    <row r="374" spans="2:16" x14ac:dyDescent="0.3">
      <c r="B374" s="98">
        <v>46008</v>
      </c>
      <c r="C374" s="30" t="s">
        <v>152</v>
      </c>
      <c r="D374" s="167">
        <v>21</v>
      </c>
      <c r="E374" s="99" t="str">
        <f>+VLOOKUP(D347,'Código Tambos'!B:C,2)</f>
        <v>Brivio Eduardo (TBR)</v>
      </c>
      <c r="F374" s="100">
        <v>4450</v>
      </c>
      <c r="G374" s="101"/>
      <c r="H374" s="101"/>
      <c r="I374" s="99">
        <v>4</v>
      </c>
      <c r="J374" s="99"/>
      <c r="K374" s="100"/>
    </row>
    <row r="375" spans="2:16" x14ac:dyDescent="0.3">
      <c r="B375" s="107">
        <v>46025</v>
      </c>
      <c r="C375" s="108" t="s">
        <v>153</v>
      </c>
      <c r="D375" s="172">
        <v>13</v>
      </c>
      <c r="E375" s="109" t="s">
        <v>11</v>
      </c>
      <c r="F375" s="110">
        <v>7302</v>
      </c>
      <c r="G375" s="111">
        <v>7094</v>
      </c>
      <c r="H375" s="111">
        <f>+G375-SUM(F375:F375)</f>
        <v>-208</v>
      </c>
      <c r="I375" s="109">
        <v>3.1</v>
      </c>
      <c r="J375" s="109"/>
      <c r="K375" s="110"/>
    </row>
    <row r="376" spans="2:16" x14ac:dyDescent="0.3">
      <c r="B376" s="90">
        <v>46026</v>
      </c>
      <c r="C376" s="28" t="s">
        <v>154</v>
      </c>
      <c r="D376" s="165">
        <v>10</v>
      </c>
      <c r="E376" s="91" t="s">
        <v>8</v>
      </c>
      <c r="F376" s="92">
        <v>8444</v>
      </c>
      <c r="G376" s="93">
        <v>18006</v>
      </c>
      <c r="H376" s="93">
        <f>+G376-SUM(F376:F377)</f>
        <v>282</v>
      </c>
      <c r="I376" s="91">
        <v>3.6</v>
      </c>
      <c r="J376" s="91"/>
      <c r="K376" s="92"/>
    </row>
    <row r="377" spans="2:16" x14ac:dyDescent="0.3">
      <c r="B377" s="98">
        <v>46026</v>
      </c>
      <c r="C377" s="30" t="s">
        <v>154</v>
      </c>
      <c r="D377" s="167">
        <v>11</v>
      </c>
      <c r="E377" s="99" t="s">
        <v>10</v>
      </c>
      <c r="F377" s="100">
        <v>9280</v>
      </c>
      <c r="G377" s="101"/>
      <c r="H377" s="101"/>
      <c r="I377" s="99">
        <v>2.4</v>
      </c>
      <c r="J377" s="99"/>
      <c r="K377" s="100"/>
    </row>
    <row r="378" spans="2:16" x14ac:dyDescent="0.3">
      <c r="B378" s="84">
        <v>46026</v>
      </c>
      <c r="C378" s="32" t="s">
        <v>155</v>
      </c>
      <c r="D378" s="159">
        <v>21</v>
      </c>
      <c r="E378" s="72" t="str">
        <f>+VLOOKUP(D347,'Código Tambos'!B:C,2)</f>
        <v>Brivio Eduardo (TBR)</v>
      </c>
      <c r="F378" s="74">
        <v>6013</v>
      </c>
      <c r="G378" s="73">
        <v>13158</v>
      </c>
      <c r="H378" s="73">
        <f>+G378-SUM(F378:F379)</f>
        <v>-125</v>
      </c>
      <c r="I378" s="72">
        <v>4.3</v>
      </c>
      <c r="J378" s="72"/>
      <c r="K378" s="74"/>
    </row>
    <row r="379" spans="2:16" x14ac:dyDescent="0.3">
      <c r="B379" s="88">
        <v>46026</v>
      </c>
      <c r="C379" s="33" t="s">
        <v>155</v>
      </c>
      <c r="D379" s="161">
        <v>13</v>
      </c>
      <c r="E379" s="81" t="s">
        <v>11</v>
      </c>
      <c r="F379" s="83">
        <v>7270</v>
      </c>
      <c r="G379" s="82"/>
      <c r="H379" s="82"/>
      <c r="I379" s="81">
        <v>3.2</v>
      </c>
      <c r="J379" s="81"/>
      <c r="K379" s="83"/>
    </row>
    <row r="380" spans="2:16" x14ac:dyDescent="0.3">
      <c r="B380" s="90">
        <v>46027</v>
      </c>
      <c r="C380" s="28" t="s">
        <v>156</v>
      </c>
      <c r="D380" s="165">
        <v>10</v>
      </c>
      <c r="E380" s="91" t="s">
        <v>8</v>
      </c>
      <c r="F380" s="92">
        <v>8444</v>
      </c>
      <c r="G380" s="93">
        <f>10994+17970</f>
        <v>28964</v>
      </c>
      <c r="H380" s="93">
        <f>+G380-SUM(F380:F383)</f>
        <v>-77</v>
      </c>
      <c r="I380" s="91">
        <v>3.9</v>
      </c>
      <c r="J380" s="91"/>
      <c r="K380" s="92"/>
    </row>
    <row r="381" spans="2:16" x14ac:dyDescent="0.3">
      <c r="B381" s="94">
        <v>46027</v>
      </c>
      <c r="C381" s="37" t="s">
        <v>156</v>
      </c>
      <c r="D381" s="166">
        <v>11</v>
      </c>
      <c r="E381" s="95" t="s">
        <v>10</v>
      </c>
      <c r="F381" s="96">
        <v>9533</v>
      </c>
      <c r="G381" s="97"/>
      <c r="H381" s="97"/>
      <c r="I381" s="95">
        <v>2.7</v>
      </c>
      <c r="J381" s="95"/>
      <c r="K381" s="96"/>
    </row>
    <row r="382" spans="2:16" x14ac:dyDescent="0.3">
      <c r="B382" s="94">
        <v>46027</v>
      </c>
      <c r="C382" s="37" t="s">
        <v>157</v>
      </c>
      <c r="D382" s="166">
        <v>21</v>
      </c>
      <c r="E382" s="95" t="str">
        <f>+VLOOKUP(D347,'Código Tambos'!B:C,2)</f>
        <v>Brivio Eduardo (TBR)</v>
      </c>
      <c r="F382" s="96">
        <v>3521</v>
      </c>
      <c r="G382" s="97"/>
      <c r="H382" s="97"/>
      <c r="I382" s="95">
        <v>2.4</v>
      </c>
      <c r="J382" s="95"/>
      <c r="K382" s="96"/>
    </row>
    <row r="383" spans="2:16" x14ac:dyDescent="0.3">
      <c r="B383" s="98">
        <v>46027</v>
      </c>
      <c r="C383" s="30" t="s">
        <v>157</v>
      </c>
      <c r="D383" s="167">
        <v>13</v>
      </c>
      <c r="E383" s="99" t="s">
        <v>11</v>
      </c>
      <c r="F383" s="100">
        <v>7543</v>
      </c>
      <c r="G383" s="101"/>
      <c r="H383" s="101"/>
      <c r="I383" s="99">
        <v>4.5</v>
      </c>
      <c r="J383" s="99"/>
      <c r="K383" s="100"/>
    </row>
    <row r="384" spans="2:16" x14ac:dyDescent="0.3">
      <c r="B384" s="84">
        <v>46028</v>
      </c>
      <c r="C384" s="32" t="s">
        <v>158</v>
      </c>
      <c r="D384" s="159">
        <v>10</v>
      </c>
      <c r="E384" s="72" t="s">
        <v>8</v>
      </c>
      <c r="F384" s="74">
        <v>8463</v>
      </c>
      <c r="G384" s="73">
        <v>17986</v>
      </c>
      <c r="H384" s="73">
        <f>+G384-SUM(F384:F385)</f>
        <v>-39</v>
      </c>
      <c r="I384" s="72">
        <v>3.7</v>
      </c>
      <c r="J384" s="72"/>
      <c r="K384" s="74"/>
    </row>
    <row r="385" spans="2:11" x14ac:dyDescent="0.3">
      <c r="B385" s="88">
        <v>46028</v>
      </c>
      <c r="C385" s="33" t="s">
        <v>158</v>
      </c>
      <c r="D385" s="161">
        <v>11</v>
      </c>
      <c r="E385" s="81" t="s">
        <v>10</v>
      </c>
      <c r="F385" s="83">
        <v>9562</v>
      </c>
      <c r="G385" s="82"/>
      <c r="H385" s="82"/>
      <c r="I385" s="81">
        <v>3.2</v>
      </c>
      <c r="J385" s="81"/>
      <c r="K385" s="83"/>
    </row>
    <row r="386" spans="2:11" x14ac:dyDescent="0.3">
      <c r="B386" s="103">
        <v>46029</v>
      </c>
      <c r="C386" s="24" t="s">
        <v>159</v>
      </c>
      <c r="D386" s="171">
        <v>21</v>
      </c>
      <c r="E386" s="23" t="str">
        <f>+VLOOKUP(D347,'Código Tambos'!B:C,2)</f>
        <v>Brivio Eduardo (TBR)</v>
      </c>
      <c r="F386" s="104">
        <v>5527</v>
      </c>
      <c r="G386" s="105">
        <v>5395</v>
      </c>
      <c r="H386" s="105">
        <f>+G386-SUM(F386:F386)</f>
        <v>-132</v>
      </c>
      <c r="I386" s="23">
        <v>3.8</v>
      </c>
      <c r="J386" s="23"/>
      <c r="K386" s="104"/>
    </row>
    <row r="387" spans="2:11" x14ac:dyDescent="0.3">
      <c r="B387" s="107">
        <v>46032</v>
      </c>
      <c r="C387" s="108" t="s">
        <v>160</v>
      </c>
      <c r="D387" s="172">
        <v>13</v>
      </c>
      <c r="E387" s="109" t="s">
        <v>11</v>
      </c>
      <c r="F387" s="110">
        <v>7181</v>
      </c>
      <c r="G387" s="111">
        <v>6938</v>
      </c>
      <c r="H387" s="111">
        <f>+G387-SUM(F387:F387)</f>
        <v>-243</v>
      </c>
      <c r="I387" s="109">
        <v>4.3</v>
      </c>
      <c r="J387" s="109"/>
      <c r="K387" s="110"/>
    </row>
    <row r="388" spans="2:11" x14ac:dyDescent="0.3">
      <c r="B388" s="90">
        <v>46033</v>
      </c>
      <c r="C388" s="28" t="s">
        <v>161</v>
      </c>
      <c r="D388" s="165">
        <v>10</v>
      </c>
      <c r="E388" s="91" t="s">
        <v>8</v>
      </c>
      <c r="F388" s="92">
        <v>8776</v>
      </c>
      <c r="G388" s="93">
        <v>18376</v>
      </c>
      <c r="H388" s="93">
        <f>+G388-SUM(F388:F390)</f>
        <v>177</v>
      </c>
      <c r="I388" s="91">
        <v>3.9</v>
      </c>
      <c r="J388" s="91"/>
      <c r="K388" s="92"/>
    </row>
    <row r="389" spans="2:11" x14ac:dyDescent="0.3">
      <c r="B389" s="94">
        <v>46033</v>
      </c>
      <c r="C389" s="37" t="s">
        <v>161</v>
      </c>
      <c r="D389" s="166">
        <v>1</v>
      </c>
      <c r="E389" s="95" t="s">
        <v>162</v>
      </c>
      <c r="F389" s="96">
        <v>7194</v>
      </c>
      <c r="G389" s="97"/>
      <c r="H389" s="97"/>
      <c r="I389" s="95">
        <v>4</v>
      </c>
      <c r="J389" s="95"/>
      <c r="K389" s="96"/>
    </row>
    <row r="390" spans="2:11" x14ac:dyDescent="0.3">
      <c r="B390" s="98">
        <v>46033</v>
      </c>
      <c r="C390" s="30" t="s">
        <v>161</v>
      </c>
      <c r="D390" s="167">
        <v>2</v>
      </c>
      <c r="E390" s="99" t="s">
        <v>162</v>
      </c>
      <c r="F390" s="100">
        <v>2229</v>
      </c>
      <c r="G390" s="101"/>
      <c r="H390" s="101"/>
      <c r="I390" s="99">
        <v>3.7</v>
      </c>
      <c r="J390" s="99"/>
      <c r="K390" s="100"/>
    </row>
    <row r="391" spans="2:11" x14ac:dyDescent="0.3">
      <c r="B391" s="107">
        <v>46033</v>
      </c>
      <c r="C391" s="108" t="s">
        <v>163</v>
      </c>
      <c r="D391" s="172">
        <v>13</v>
      </c>
      <c r="E391" s="109" t="s">
        <v>11</v>
      </c>
      <c r="F391" s="110">
        <v>7567</v>
      </c>
      <c r="G391" s="111">
        <v>7008</v>
      </c>
      <c r="H391" s="111">
        <f>+G391-SUM(F391:F391)</f>
        <v>-559</v>
      </c>
      <c r="I391" s="109">
        <v>4.4000000000000004</v>
      </c>
      <c r="J391" s="109"/>
      <c r="K391" s="110"/>
    </row>
    <row r="392" spans="2:11" x14ac:dyDescent="0.3">
      <c r="B392" s="90">
        <v>46034</v>
      </c>
      <c r="C392" s="28" t="s">
        <v>164</v>
      </c>
      <c r="D392" s="165">
        <v>10</v>
      </c>
      <c r="E392" s="91" t="s">
        <v>8</v>
      </c>
      <c r="F392" s="92">
        <v>9154</v>
      </c>
      <c r="G392" s="93">
        <v>19044</v>
      </c>
      <c r="H392" s="93">
        <f>+G392-SUM(F392:F394)</f>
        <v>547</v>
      </c>
      <c r="I392" s="91">
        <v>4.3</v>
      </c>
      <c r="J392" s="91"/>
      <c r="K392" s="92"/>
    </row>
    <row r="393" spans="2:11" x14ac:dyDescent="0.3">
      <c r="B393" s="94">
        <v>46034</v>
      </c>
      <c r="C393" s="37" t="s">
        <v>164</v>
      </c>
      <c r="D393" s="166">
        <v>1</v>
      </c>
      <c r="E393" s="95" t="s">
        <v>162</v>
      </c>
      <c r="F393" s="96">
        <v>7153</v>
      </c>
      <c r="G393" s="97"/>
      <c r="H393" s="97"/>
      <c r="I393" s="95">
        <v>4.0999999999999996</v>
      </c>
      <c r="J393" s="95"/>
      <c r="K393" s="96"/>
    </row>
    <row r="394" spans="2:11" x14ac:dyDescent="0.3">
      <c r="B394" s="98">
        <v>46034</v>
      </c>
      <c r="C394" s="30" t="s">
        <v>164</v>
      </c>
      <c r="D394" s="167">
        <v>2</v>
      </c>
      <c r="E394" s="99" t="s">
        <v>162</v>
      </c>
      <c r="F394" s="100">
        <v>2190</v>
      </c>
      <c r="G394" s="101"/>
      <c r="H394" s="101"/>
      <c r="I394" s="99">
        <v>3.9</v>
      </c>
      <c r="J394" s="99"/>
      <c r="K394" s="100"/>
    </row>
    <row r="395" spans="2:11" x14ac:dyDescent="0.3">
      <c r="B395" s="84">
        <v>46039</v>
      </c>
      <c r="C395" s="32" t="s">
        <v>165</v>
      </c>
      <c r="D395" s="159">
        <v>21</v>
      </c>
      <c r="E395" s="72" t="str">
        <f>+VLOOKUP(D347,'Código Tambos'!B:C,2)</f>
        <v>Brivio Eduardo (TBR)</v>
      </c>
      <c r="F395" s="74">
        <v>3793</v>
      </c>
      <c r="G395" s="73">
        <v>11103</v>
      </c>
      <c r="H395" s="73">
        <f>+G395-SUM(F395:F396)</f>
        <v>0</v>
      </c>
      <c r="I395" s="72">
        <v>2.8</v>
      </c>
      <c r="J395" s="72"/>
      <c r="K395" s="74"/>
    </row>
    <row r="396" spans="2:11" x14ac:dyDescent="0.3">
      <c r="B396" s="88">
        <v>46039</v>
      </c>
      <c r="C396" s="33" t="s">
        <v>165</v>
      </c>
      <c r="D396" s="161">
        <v>13</v>
      </c>
      <c r="E396" s="81" t="s">
        <v>11</v>
      </c>
      <c r="F396" s="83">
        <v>7310</v>
      </c>
      <c r="G396" s="82"/>
      <c r="H396" s="82"/>
      <c r="I396" s="81">
        <v>3.9</v>
      </c>
      <c r="J396" s="81"/>
      <c r="K396" s="83"/>
    </row>
    <row r="397" spans="2:11" x14ac:dyDescent="0.3">
      <c r="B397" s="90">
        <v>46040</v>
      </c>
      <c r="C397" s="28" t="s">
        <v>166</v>
      </c>
      <c r="D397" s="165">
        <v>10</v>
      </c>
      <c r="E397" s="91" t="s">
        <v>8</v>
      </c>
      <c r="F397" s="92">
        <v>8377</v>
      </c>
      <c r="G397" s="93">
        <f>17595+11864</f>
        <v>29459</v>
      </c>
      <c r="H397" s="93">
        <f>+G397-SUM(F397:F401)</f>
        <v>-135</v>
      </c>
      <c r="I397" s="91">
        <v>4</v>
      </c>
      <c r="J397" s="91"/>
      <c r="K397" s="92"/>
    </row>
    <row r="398" spans="2:11" x14ac:dyDescent="0.3">
      <c r="B398" s="94">
        <v>46040</v>
      </c>
      <c r="C398" s="37" t="s">
        <v>166</v>
      </c>
      <c r="D398" s="166">
        <v>1</v>
      </c>
      <c r="E398" s="95" t="s">
        <v>162</v>
      </c>
      <c r="F398" s="96">
        <v>7104</v>
      </c>
      <c r="G398" s="97"/>
      <c r="H398" s="97"/>
      <c r="I398" s="95">
        <v>3.1</v>
      </c>
      <c r="J398" s="95"/>
      <c r="K398" s="96"/>
    </row>
    <row r="399" spans="2:11" x14ac:dyDescent="0.3">
      <c r="B399" s="94">
        <v>46040</v>
      </c>
      <c r="C399" s="37" t="s">
        <v>166</v>
      </c>
      <c r="D399" s="166">
        <v>2</v>
      </c>
      <c r="E399" s="95" t="s">
        <v>162</v>
      </c>
      <c r="F399" s="96">
        <v>2114</v>
      </c>
      <c r="G399" s="97"/>
      <c r="H399" s="97"/>
      <c r="I399" s="95">
        <v>4.3</v>
      </c>
      <c r="J399" s="95"/>
      <c r="K399" s="96"/>
    </row>
    <row r="400" spans="2:11" x14ac:dyDescent="0.3">
      <c r="B400" s="94">
        <v>46040</v>
      </c>
      <c r="C400" s="37" t="s">
        <v>167</v>
      </c>
      <c r="D400" s="166">
        <v>21</v>
      </c>
      <c r="E400" s="95" t="str">
        <f>+VLOOKUP(D347,'Código Tambos'!B:C,2)</f>
        <v>Brivio Eduardo (TBR)</v>
      </c>
      <c r="F400" s="96">
        <v>4536</v>
      </c>
      <c r="G400" s="97"/>
      <c r="H400" s="97"/>
      <c r="I400" s="95">
        <v>2.6</v>
      </c>
      <c r="J400" s="95"/>
      <c r="K400" s="96"/>
    </row>
    <row r="401" spans="2:11" x14ac:dyDescent="0.3">
      <c r="B401" s="98">
        <v>46040</v>
      </c>
      <c r="C401" s="30" t="s">
        <v>167</v>
      </c>
      <c r="D401" s="167">
        <v>13</v>
      </c>
      <c r="E401" s="99" t="s">
        <v>11</v>
      </c>
      <c r="F401" s="100">
        <v>7463</v>
      </c>
      <c r="G401" s="101"/>
      <c r="H401" s="101"/>
      <c r="I401" s="99">
        <v>3.1</v>
      </c>
      <c r="J401" s="99"/>
      <c r="K401" s="100"/>
    </row>
    <row r="402" spans="2:11" x14ac:dyDescent="0.3">
      <c r="B402" s="84">
        <v>46041</v>
      </c>
      <c r="C402" s="32" t="s">
        <v>168</v>
      </c>
      <c r="D402" s="159">
        <v>10</v>
      </c>
      <c r="E402" s="72" t="s">
        <v>8</v>
      </c>
      <c r="F402" s="74">
        <v>8634</v>
      </c>
      <c r="G402" s="73">
        <v>17370</v>
      </c>
      <c r="H402" s="73">
        <f>+G402-SUM(F402:F404)</f>
        <v>-57</v>
      </c>
      <c r="I402" s="72">
        <v>3.8</v>
      </c>
      <c r="J402" s="72"/>
      <c r="K402" s="74"/>
    </row>
    <row r="403" spans="2:11" x14ac:dyDescent="0.3">
      <c r="B403" s="86">
        <v>46041</v>
      </c>
      <c r="C403" s="76" t="s">
        <v>168</v>
      </c>
      <c r="D403" s="160">
        <v>1</v>
      </c>
      <c r="E403" s="77" t="s">
        <v>162</v>
      </c>
      <c r="F403" s="79">
        <v>6717</v>
      </c>
      <c r="G403" s="78"/>
      <c r="H403" s="78"/>
      <c r="I403" s="77">
        <v>3.2</v>
      </c>
      <c r="J403" s="77"/>
      <c r="K403" s="79"/>
    </row>
    <row r="404" spans="2:11" x14ac:dyDescent="0.3">
      <c r="B404" s="88">
        <v>46041</v>
      </c>
      <c r="C404" s="33" t="s">
        <v>168</v>
      </c>
      <c r="D404" s="161">
        <v>2</v>
      </c>
      <c r="E404" s="81" t="s">
        <v>162</v>
      </c>
      <c r="F404" s="83">
        <v>2076</v>
      </c>
      <c r="G404" s="82"/>
      <c r="H404" s="82"/>
      <c r="I404" s="81">
        <v>2.9</v>
      </c>
      <c r="J404" s="81"/>
      <c r="K404" s="83"/>
    </row>
    <row r="405" spans="2:11" x14ac:dyDescent="0.3">
      <c r="B405" s="90">
        <v>46046</v>
      </c>
      <c r="C405" s="28" t="s">
        <v>169</v>
      </c>
      <c r="D405" s="165">
        <v>21</v>
      </c>
      <c r="E405" s="91" t="str">
        <f>+VLOOKUP(D347,'Código Tambos'!B:C,2)</f>
        <v>Brivio Eduardo (TBR)</v>
      </c>
      <c r="F405" s="92">
        <v>3986</v>
      </c>
      <c r="G405" s="93">
        <v>27738</v>
      </c>
      <c r="H405" s="93">
        <f>+G405-SUM(F405:F408)</f>
        <v>99</v>
      </c>
      <c r="I405" s="91">
        <v>3.1</v>
      </c>
      <c r="J405" s="91"/>
      <c r="K405" s="92"/>
    </row>
    <row r="406" spans="2:11" x14ac:dyDescent="0.3">
      <c r="B406" s="94">
        <v>46046</v>
      </c>
      <c r="C406" s="37" t="s">
        <v>169</v>
      </c>
      <c r="D406" s="166">
        <v>13</v>
      </c>
      <c r="E406" s="95" t="s">
        <v>11</v>
      </c>
      <c r="F406" s="96">
        <v>8110</v>
      </c>
      <c r="G406" s="97"/>
      <c r="H406" s="97"/>
      <c r="I406" s="95">
        <v>4.4000000000000004</v>
      </c>
      <c r="J406" s="95"/>
      <c r="K406" s="96"/>
    </row>
    <row r="407" spans="2:11" x14ac:dyDescent="0.3">
      <c r="B407" s="94">
        <v>46047</v>
      </c>
      <c r="C407" s="37" t="s">
        <v>170</v>
      </c>
      <c r="D407" s="166">
        <v>10</v>
      </c>
      <c r="E407" s="95" t="s">
        <v>8</v>
      </c>
      <c r="F407" s="96">
        <v>8539</v>
      </c>
      <c r="G407" s="97"/>
      <c r="H407" s="97"/>
      <c r="I407" s="95">
        <v>3.5</v>
      </c>
      <c r="J407" s="95"/>
      <c r="K407" s="96"/>
    </row>
    <row r="408" spans="2:11" x14ac:dyDescent="0.3">
      <c r="B408" s="98">
        <v>46047</v>
      </c>
      <c r="C408" s="30" t="s">
        <v>170</v>
      </c>
      <c r="D408" s="167">
        <v>1</v>
      </c>
      <c r="E408" s="99" t="s">
        <v>162</v>
      </c>
      <c r="F408" s="100">
        <v>7004</v>
      </c>
      <c r="G408" s="101"/>
      <c r="H408" s="101"/>
      <c r="I408" s="99">
        <v>3.5</v>
      </c>
      <c r="J408" s="99"/>
      <c r="K408" s="100"/>
    </row>
    <row r="409" spans="2:11" x14ac:dyDescent="0.3">
      <c r="B409" s="84">
        <v>46047</v>
      </c>
      <c r="C409" s="32" t="s">
        <v>171</v>
      </c>
      <c r="D409" s="159">
        <v>21</v>
      </c>
      <c r="E409" s="72" t="str">
        <f>+VLOOKUP(D409,'Código Tambos'!B:C,2)</f>
        <v>Brivio Eduardo (TBR)</v>
      </c>
      <c r="F409" s="74">
        <v>4293</v>
      </c>
      <c r="G409" s="73">
        <v>11900</v>
      </c>
      <c r="H409" s="73">
        <f>+G409-SUM(F409:F410)</f>
        <v>-121</v>
      </c>
      <c r="I409" s="72">
        <v>3.2</v>
      </c>
      <c r="J409" s="72"/>
      <c r="K409" s="74"/>
    </row>
    <row r="410" spans="2:11" x14ac:dyDescent="0.3">
      <c r="B410" s="88">
        <v>46047</v>
      </c>
      <c r="C410" s="33" t="s">
        <v>171</v>
      </c>
      <c r="D410" s="161">
        <v>13</v>
      </c>
      <c r="E410" s="81" t="s">
        <v>11</v>
      </c>
      <c r="F410" s="83">
        <v>7728</v>
      </c>
      <c r="G410" s="82"/>
      <c r="H410" s="82"/>
      <c r="I410" s="81">
        <v>4.0999999999999996</v>
      </c>
      <c r="J410" s="81"/>
      <c r="K410" s="83"/>
    </row>
    <row r="411" spans="2:11" x14ac:dyDescent="0.3">
      <c r="B411" s="90">
        <v>46048</v>
      </c>
      <c r="C411" s="28" t="s">
        <v>172</v>
      </c>
      <c r="D411" s="165">
        <v>10</v>
      </c>
      <c r="E411" s="91" t="s">
        <v>8</v>
      </c>
      <c r="F411" s="92">
        <v>8253</v>
      </c>
      <c r="G411" s="93">
        <v>20316</v>
      </c>
      <c r="H411" s="93">
        <f>+G411-SUM(F411:F413)</f>
        <v>461</v>
      </c>
      <c r="I411" s="91">
        <v>3.5</v>
      </c>
      <c r="J411" s="91"/>
      <c r="K411" s="92"/>
    </row>
    <row r="412" spans="2:11" x14ac:dyDescent="0.3">
      <c r="B412" s="94">
        <v>46048</v>
      </c>
      <c r="C412" s="37" t="s">
        <v>172</v>
      </c>
      <c r="D412" s="166">
        <v>1</v>
      </c>
      <c r="E412" s="95" t="s">
        <v>162</v>
      </c>
      <c r="F412" s="96">
        <v>7294</v>
      </c>
      <c r="G412" s="97"/>
      <c r="H412" s="97"/>
      <c r="I412" s="95">
        <v>3.4</v>
      </c>
      <c r="J412" s="95"/>
      <c r="K412" s="96"/>
    </row>
    <row r="413" spans="2:11" x14ac:dyDescent="0.3">
      <c r="B413" s="98">
        <v>46048</v>
      </c>
      <c r="C413" s="30" t="s">
        <v>172</v>
      </c>
      <c r="D413" s="167">
        <v>2</v>
      </c>
      <c r="E413" s="99" t="s">
        <v>162</v>
      </c>
      <c r="F413" s="100">
        <v>4308</v>
      </c>
      <c r="G413" s="101"/>
      <c r="H413" s="101"/>
      <c r="I413" s="99">
        <v>3.6</v>
      </c>
      <c r="J413" s="99"/>
      <c r="K413" s="100"/>
    </row>
    <row r="414" spans="2:11" x14ac:dyDescent="0.3">
      <c r="B414" s="84">
        <v>46048</v>
      </c>
      <c r="C414" s="32" t="s">
        <v>173</v>
      </c>
      <c r="D414" s="159">
        <v>21</v>
      </c>
      <c r="E414" s="72" t="str">
        <f>+VLOOKUP(D347,'Código Tambos'!B:C,2)</f>
        <v>Brivio Eduardo (TBR)</v>
      </c>
      <c r="F414" s="74">
        <v>3736</v>
      </c>
      <c r="G414" s="73">
        <v>11410</v>
      </c>
      <c r="H414" s="73">
        <f>+G414-SUM(F414:F415)</f>
        <v>-110</v>
      </c>
      <c r="I414" s="72">
        <v>2.5</v>
      </c>
      <c r="J414" s="72"/>
      <c r="K414" s="74"/>
    </row>
    <row r="415" spans="2:11" x14ac:dyDescent="0.3">
      <c r="B415" s="88">
        <v>46048</v>
      </c>
      <c r="C415" s="33" t="s">
        <v>173</v>
      </c>
      <c r="D415" s="161">
        <v>13</v>
      </c>
      <c r="E415" s="81" t="s">
        <v>11</v>
      </c>
      <c r="F415" s="83">
        <v>7784</v>
      </c>
      <c r="G415" s="82"/>
      <c r="H415" s="82"/>
      <c r="I415" s="81">
        <v>2.9</v>
      </c>
      <c r="J415" s="81"/>
      <c r="K415" s="83"/>
    </row>
    <row r="416" spans="2:11" x14ac:dyDescent="0.3">
      <c r="B416" s="90">
        <v>46049</v>
      </c>
      <c r="C416" s="28" t="s">
        <v>174</v>
      </c>
      <c r="D416" s="165">
        <v>1</v>
      </c>
      <c r="E416" s="91" t="s">
        <v>162</v>
      </c>
      <c r="F416" s="92">
        <v>7385</v>
      </c>
      <c r="G416" s="93">
        <v>20950</v>
      </c>
      <c r="H416" s="93">
        <f>+G416-SUM(F416:F418)</f>
        <v>-15</v>
      </c>
      <c r="I416" s="91">
        <v>3.5</v>
      </c>
      <c r="J416" s="91"/>
      <c r="K416" s="92"/>
    </row>
    <row r="417" spans="2:11" x14ac:dyDescent="0.3">
      <c r="B417" s="94">
        <v>46049</v>
      </c>
      <c r="C417" s="37" t="s">
        <v>174</v>
      </c>
      <c r="D417" s="166">
        <v>2</v>
      </c>
      <c r="E417" s="95" t="s">
        <v>162</v>
      </c>
      <c r="F417" s="96">
        <v>2152</v>
      </c>
      <c r="G417" s="97"/>
      <c r="H417" s="97"/>
      <c r="I417" s="95">
        <v>3.9</v>
      </c>
      <c r="J417" s="95"/>
      <c r="K417" s="96"/>
    </row>
    <row r="418" spans="2:11" x14ac:dyDescent="0.3">
      <c r="B418" s="98">
        <v>46049</v>
      </c>
      <c r="C418" s="30" t="s">
        <v>174</v>
      </c>
      <c r="D418" s="167">
        <v>10</v>
      </c>
      <c r="E418" s="99" t="s">
        <v>8</v>
      </c>
      <c r="F418" s="100">
        <v>11428</v>
      </c>
      <c r="G418" s="101"/>
      <c r="H418" s="101"/>
      <c r="I418" s="99">
        <v>4.5999999999999996</v>
      </c>
      <c r="J418" s="99"/>
      <c r="K418" s="100"/>
    </row>
    <row r="419" spans="2:11" x14ac:dyDescent="0.3">
      <c r="B419" s="84">
        <v>46053</v>
      </c>
      <c r="C419" s="32" t="s">
        <v>175</v>
      </c>
      <c r="D419" s="159">
        <v>13</v>
      </c>
      <c r="E419" s="72" t="s">
        <v>11</v>
      </c>
      <c r="F419" s="74">
        <v>7959</v>
      </c>
      <c r="G419" s="73">
        <v>25082</v>
      </c>
      <c r="H419" s="73">
        <f>+G419-SUM(F419:F422)</f>
        <v>47</v>
      </c>
      <c r="I419" s="72">
        <v>4.4000000000000004</v>
      </c>
      <c r="J419" s="72"/>
      <c r="K419" s="74"/>
    </row>
    <row r="420" spans="2:11" x14ac:dyDescent="0.3">
      <c r="B420" s="86">
        <v>46054</v>
      </c>
      <c r="C420" s="76" t="s">
        <v>176</v>
      </c>
      <c r="D420" s="160">
        <v>10</v>
      </c>
      <c r="E420" s="77" t="s">
        <v>8</v>
      </c>
      <c r="F420" s="79">
        <v>8681</v>
      </c>
      <c r="G420" s="78"/>
      <c r="H420" s="78"/>
      <c r="I420" s="77">
        <v>3.3</v>
      </c>
      <c r="J420" s="77"/>
      <c r="K420" s="79"/>
    </row>
    <row r="421" spans="2:11" x14ac:dyDescent="0.3">
      <c r="B421" s="86">
        <v>46054</v>
      </c>
      <c r="C421" s="76" t="s">
        <v>176</v>
      </c>
      <c r="D421" s="160">
        <v>2</v>
      </c>
      <c r="E421" s="77" t="s">
        <v>162</v>
      </c>
      <c r="F421" s="79">
        <v>2019</v>
      </c>
      <c r="G421" s="78"/>
      <c r="H421" s="78"/>
      <c r="I421" s="77">
        <v>4</v>
      </c>
      <c r="J421" s="77"/>
      <c r="K421" s="79"/>
    </row>
    <row r="422" spans="2:11" x14ac:dyDescent="0.3">
      <c r="B422" s="88">
        <v>46054</v>
      </c>
      <c r="C422" s="33" t="s">
        <v>176</v>
      </c>
      <c r="D422" s="161">
        <v>1</v>
      </c>
      <c r="E422" s="81" t="s">
        <v>162</v>
      </c>
      <c r="F422" s="83">
        <v>6376</v>
      </c>
      <c r="G422" s="82"/>
      <c r="H422" s="82"/>
      <c r="I422" s="81">
        <v>3.4</v>
      </c>
      <c r="J422" s="81"/>
      <c r="K422" s="83"/>
    </row>
    <row r="423" spans="2:11" x14ac:dyDescent="0.3">
      <c r="B423" s="90">
        <v>46054</v>
      </c>
      <c r="C423" s="28" t="s">
        <v>177</v>
      </c>
      <c r="D423" s="165">
        <v>13</v>
      </c>
      <c r="E423" s="91" t="s">
        <v>11</v>
      </c>
      <c r="F423" s="92">
        <v>7575</v>
      </c>
      <c r="G423" s="93">
        <f>17614+7010</f>
        <v>24624</v>
      </c>
      <c r="H423" s="93">
        <f>+G423-SUM(F423:F426)</f>
        <v>121</v>
      </c>
      <c r="I423" s="91">
        <v>3.3</v>
      </c>
      <c r="J423" s="91"/>
      <c r="K423" s="92"/>
    </row>
    <row r="424" spans="2:11" x14ac:dyDescent="0.3">
      <c r="B424" s="94">
        <v>46055</v>
      </c>
      <c r="C424" s="37" t="s">
        <v>178</v>
      </c>
      <c r="D424" s="166">
        <v>10</v>
      </c>
      <c r="E424" s="95" t="s">
        <v>8</v>
      </c>
      <c r="F424" s="96">
        <v>8424</v>
      </c>
      <c r="G424" s="97"/>
      <c r="H424" s="97"/>
      <c r="I424" s="95">
        <v>3.8</v>
      </c>
      <c r="J424" s="95"/>
      <c r="K424" s="96"/>
    </row>
    <row r="425" spans="2:11" x14ac:dyDescent="0.3">
      <c r="B425" s="94">
        <v>46055</v>
      </c>
      <c r="C425" s="37" t="s">
        <v>178</v>
      </c>
      <c r="D425" s="166">
        <v>2</v>
      </c>
      <c r="E425" s="95" t="s">
        <v>162</v>
      </c>
      <c r="F425" s="96">
        <v>2004</v>
      </c>
      <c r="G425" s="97"/>
      <c r="H425" s="97"/>
      <c r="I425" s="95">
        <v>3.9</v>
      </c>
      <c r="J425" s="95"/>
      <c r="K425" s="96"/>
    </row>
    <row r="426" spans="2:11" x14ac:dyDescent="0.3">
      <c r="B426" s="98">
        <v>46055</v>
      </c>
      <c r="C426" s="30" t="s">
        <v>178</v>
      </c>
      <c r="D426" s="167">
        <v>1</v>
      </c>
      <c r="E426" s="99" t="s">
        <v>162</v>
      </c>
      <c r="F426" s="100">
        <v>6500</v>
      </c>
      <c r="G426" s="101"/>
      <c r="H426" s="101"/>
      <c r="I426" s="99">
        <v>3.4</v>
      </c>
      <c r="J426" s="99"/>
      <c r="K426" s="100"/>
    </row>
    <row r="427" spans="2:11" x14ac:dyDescent="0.3">
      <c r="B427" s="84">
        <v>46055</v>
      </c>
      <c r="C427" s="32" t="s">
        <v>179</v>
      </c>
      <c r="D427" s="159">
        <v>13</v>
      </c>
      <c r="E427" s="72" t="str">
        <f>+VLOOKUP(D427,'Código Tambos'!B:C,2)</f>
        <v>Estancia Aleluya</v>
      </c>
      <c r="F427" s="74">
        <v>7848</v>
      </c>
      <c r="G427" s="73">
        <v>24544</v>
      </c>
      <c r="H427" s="73">
        <f>+G427-SUM(F427:F430)</f>
        <v>4</v>
      </c>
      <c r="I427" s="72">
        <v>4.2</v>
      </c>
      <c r="J427" s="72"/>
      <c r="K427" s="74"/>
    </row>
    <row r="428" spans="2:11" x14ac:dyDescent="0.3">
      <c r="B428" s="86">
        <v>46056</v>
      </c>
      <c r="C428" s="76" t="s">
        <v>180</v>
      </c>
      <c r="D428" s="160">
        <v>10</v>
      </c>
      <c r="E428" s="77" t="str">
        <f>+VLOOKUP(D428,'Código Tambos'!B:C,2)</f>
        <v>Huaca Hue</v>
      </c>
      <c r="F428" s="79">
        <v>8224</v>
      </c>
      <c r="G428" s="78"/>
      <c r="H428" s="78"/>
      <c r="I428" s="77">
        <v>3.4</v>
      </c>
      <c r="J428" s="77"/>
      <c r="K428" s="79"/>
    </row>
    <row r="429" spans="2:11" x14ac:dyDescent="0.3">
      <c r="B429" s="86">
        <v>46056</v>
      </c>
      <c r="C429" s="76" t="s">
        <v>180</v>
      </c>
      <c r="D429" s="160" t="s">
        <v>183</v>
      </c>
      <c r="E429" s="77" t="str">
        <f>+VLOOKUP(D429,'Código Tambos'!B:C,2)</f>
        <v>Larregain Hnos (TLR)</v>
      </c>
      <c r="F429" s="79">
        <v>2038</v>
      </c>
      <c r="G429" s="78"/>
      <c r="H429" s="78"/>
      <c r="I429" s="77">
        <v>4.0999999999999996</v>
      </c>
      <c r="J429" s="77"/>
      <c r="K429" s="79"/>
    </row>
    <row r="430" spans="2:11" x14ac:dyDescent="0.3">
      <c r="B430" s="86">
        <v>46056</v>
      </c>
      <c r="C430" s="76" t="s">
        <v>180</v>
      </c>
      <c r="D430" s="160" t="s">
        <v>184</v>
      </c>
      <c r="E430" s="77" t="str">
        <f>+VLOOKUP(D430,'Código Tambos'!B:C,2)</f>
        <v>Larregain Hnos (TLR)</v>
      </c>
      <c r="F430" s="79">
        <v>6430</v>
      </c>
      <c r="G430" s="78"/>
      <c r="H430" s="78"/>
      <c r="I430" s="77">
        <v>3.5</v>
      </c>
      <c r="J430" s="77"/>
      <c r="K430" s="79"/>
    </row>
    <row r="431" spans="2:11" x14ac:dyDescent="0.3">
      <c r="B431" s="112">
        <v>46060</v>
      </c>
      <c r="C431" s="28" t="s">
        <v>185</v>
      </c>
      <c r="D431" s="165">
        <v>21</v>
      </c>
      <c r="E431" s="91" t="str">
        <f>+VLOOKUP(D431,'Código Tambos'!B:C,2)</f>
        <v>Brivio Eduardo (TBR)</v>
      </c>
      <c r="F431" s="92">
        <v>7297</v>
      </c>
      <c r="G431" s="93">
        <v>28132</v>
      </c>
      <c r="H431" s="93">
        <f>+G431-SUM(F431:F434)</f>
        <v>112</v>
      </c>
      <c r="I431" s="91">
        <v>2.6</v>
      </c>
      <c r="J431" s="91"/>
      <c r="K431" s="91"/>
    </row>
    <row r="432" spans="2:11" x14ac:dyDescent="0.3">
      <c r="B432" s="94">
        <v>46060</v>
      </c>
      <c r="C432" s="37" t="s">
        <v>185</v>
      </c>
      <c r="D432" s="125">
        <v>13</v>
      </c>
      <c r="E432" s="95" t="str">
        <f>+VLOOKUP(D432,'Código Tambos'!B:C,2)</f>
        <v>Estancia Aleluya</v>
      </c>
      <c r="F432" s="95">
        <v>8070</v>
      </c>
      <c r="G432" s="97"/>
      <c r="H432" s="97"/>
      <c r="I432" s="95">
        <v>2.9</v>
      </c>
      <c r="J432" s="95"/>
      <c r="K432" s="96"/>
    </row>
    <row r="433" spans="2:11" x14ac:dyDescent="0.3">
      <c r="B433" s="94">
        <v>46061</v>
      </c>
      <c r="C433" s="37" t="s">
        <v>186</v>
      </c>
      <c r="D433" s="125">
        <v>10</v>
      </c>
      <c r="E433" s="96" t="str">
        <f>+VLOOKUP(D433,'Código Tambos'!B:C,2)</f>
        <v>Huaca Hue</v>
      </c>
      <c r="F433" s="96">
        <v>8396</v>
      </c>
      <c r="G433" s="97"/>
      <c r="H433" s="97"/>
      <c r="I433" s="95">
        <v>3.4</v>
      </c>
      <c r="J433" s="95"/>
      <c r="K433" s="96"/>
    </row>
    <row r="434" spans="2:11" x14ac:dyDescent="0.3">
      <c r="B434" s="94">
        <v>46061</v>
      </c>
      <c r="C434" s="37" t="s">
        <v>186</v>
      </c>
      <c r="D434" s="166" t="s">
        <v>183</v>
      </c>
      <c r="E434" s="99" t="str">
        <f>+VLOOKUP(D434,'Código Tambos'!B:C,2)</f>
        <v>Larregain Hnos (TLR)</v>
      </c>
      <c r="F434" s="96">
        <v>4257</v>
      </c>
      <c r="G434" s="97"/>
      <c r="H434" s="97"/>
      <c r="I434" s="95">
        <v>3.5</v>
      </c>
      <c r="J434" s="95"/>
      <c r="K434" s="96"/>
    </row>
    <row r="435" spans="2:11" x14ac:dyDescent="0.3">
      <c r="B435" s="84">
        <v>46061</v>
      </c>
      <c r="C435" s="32" t="s">
        <v>187</v>
      </c>
      <c r="D435" s="135">
        <v>21</v>
      </c>
      <c r="E435" s="79" t="str">
        <f>+VLOOKUP(D435,'Código Tambos'!B:C,2)</f>
        <v>Brivio Eduardo (TBR)</v>
      </c>
      <c r="F435" s="74">
        <v>3207</v>
      </c>
      <c r="G435" s="73">
        <f>20359+11138</f>
        <v>31497</v>
      </c>
      <c r="H435" s="73">
        <f>+G435-SUM(F435:F439)</f>
        <v>-209</v>
      </c>
      <c r="I435" s="72">
        <v>3.9</v>
      </c>
      <c r="J435" s="72"/>
      <c r="K435" s="74"/>
    </row>
    <row r="436" spans="2:11" x14ac:dyDescent="0.3">
      <c r="B436" s="86">
        <v>46061</v>
      </c>
      <c r="C436" s="76" t="s">
        <v>187</v>
      </c>
      <c r="D436" s="127">
        <v>13</v>
      </c>
      <c r="E436" s="79" t="str">
        <f>+VLOOKUP(D436,'Código Tambos'!B:C,2)</f>
        <v>Estancia Aleluya</v>
      </c>
      <c r="F436" s="79">
        <v>8070</v>
      </c>
      <c r="G436" s="78"/>
      <c r="H436" s="78"/>
      <c r="I436" s="77">
        <v>4.4000000000000004</v>
      </c>
      <c r="J436" s="77"/>
      <c r="K436" s="79"/>
    </row>
    <row r="437" spans="2:11" x14ac:dyDescent="0.3">
      <c r="B437" s="86">
        <v>46062</v>
      </c>
      <c r="C437" s="76" t="s">
        <v>188</v>
      </c>
      <c r="D437" s="127">
        <v>10</v>
      </c>
      <c r="E437" s="79" t="str">
        <f>+VLOOKUP(D437,'Código Tambos'!B:C,2)</f>
        <v>Huaca Hue</v>
      </c>
      <c r="F437" s="79">
        <v>8492</v>
      </c>
      <c r="G437" s="78"/>
      <c r="H437" s="78"/>
      <c r="I437" s="77">
        <v>3.3</v>
      </c>
      <c r="J437" s="77"/>
      <c r="K437" s="79"/>
    </row>
    <row r="438" spans="2:11" x14ac:dyDescent="0.3">
      <c r="B438" s="86">
        <v>46062</v>
      </c>
      <c r="C438" s="76" t="s">
        <v>188</v>
      </c>
      <c r="D438" s="160" t="s">
        <v>184</v>
      </c>
      <c r="E438" s="77" t="str">
        <f>+VLOOKUP(D438,'Código Tambos'!B:C,2)</f>
        <v>Larregain Hnos (TLR)</v>
      </c>
      <c r="F438" s="79">
        <v>3755</v>
      </c>
      <c r="G438" s="78"/>
      <c r="H438" s="78"/>
      <c r="I438" s="77">
        <v>4.0999999999999996</v>
      </c>
      <c r="J438" s="77"/>
      <c r="K438" s="79"/>
    </row>
    <row r="439" spans="2:11" x14ac:dyDescent="0.3">
      <c r="B439" s="88">
        <v>46062</v>
      </c>
      <c r="C439" s="33" t="s">
        <v>188</v>
      </c>
      <c r="D439" s="128" t="s">
        <v>183</v>
      </c>
      <c r="E439" s="81" t="str">
        <f>+VLOOKUP(D439,'Código Tambos'!B:C,2)</f>
        <v>Larregain Hnos (TLR)</v>
      </c>
      <c r="F439" s="83">
        <v>8182</v>
      </c>
      <c r="G439" s="82"/>
      <c r="H439" s="82"/>
      <c r="I439" s="81">
        <v>3.3</v>
      </c>
      <c r="J439" s="81"/>
      <c r="K439" s="83"/>
    </row>
    <row r="440" spans="2:11" x14ac:dyDescent="0.3">
      <c r="B440" s="94">
        <v>46062</v>
      </c>
      <c r="C440" s="37" t="s">
        <v>189</v>
      </c>
      <c r="D440" s="173">
        <v>13</v>
      </c>
      <c r="E440" s="95" t="str">
        <f>+VLOOKUP(D440,'Código Tambos'!B:C,2)</f>
        <v>Estancia Aleluya</v>
      </c>
      <c r="F440" s="96">
        <v>7814</v>
      </c>
      <c r="G440" s="97">
        <v>24514</v>
      </c>
      <c r="H440" s="97">
        <f>G440-SUM(F440:F443)</f>
        <v>-45</v>
      </c>
      <c r="I440" s="95">
        <v>3.1</v>
      </c>
      <c r="J440" s="95"/>
      <c r="K440" s="96"/>
    </row>
    <row r="441" spans="2:11" x14ac:dyDescent="0.3">
      <c r="B441" s="94">
        <v>46063</v>
      </c>
      <c r="C441" s="37" t="s">
        <v>190</v>
      </c>
      <c r="D441" s="125">
        <v>10</v>
      </c>
      <c r="E441" s="95" t="str">
        <f>+VLOOKUP(D441,'Código Tambos'!B:C,2)</f>
        <v>Huaca Hue</v>
      </c>
      <c r="F441" s="96">
        <v>8640</v>
      </c>
      <c r="G441" s="97"/>
      <c r="H441" s="97"/>
      <c r="I441" s="95">
        <v>3.6</v>
      </c>
      <c r="J441" s="95"/>
      <c r="K441" s="96"/>
    </row>
    <row r="442" spans="2:11" x14ac:dyDescent="0.3">
      <c r="B442" s="94">
        <v>46063</v>
      </c>
      <c r="C442" s="37" t="s">
        <v>190</v>
      </c>
      <c r="D442" s="125" t="s">
        <v>184</v>
      </c>
      <c r="E442" s="95" t="str">
        <f>+VLOOKUP(D442,'Código Tambos'!B:C,2)</f>
        <v>Larregain Hnos (TLR)</v>
      </c>
      <c r="F442" s="96">
        <v>1888</v>
      </c>
      <c r="G442" s="97"/>
      <c r="H442" s="97"/>
      <c r="I442" s="95">
        <v>4.0999999999999996</v>
      </c>
      <c r="J442" s="95"/>
      <c r="K442" s="96"/>
    </row>
    <row r="443" spans="2:11" x14ac:dyDescent="0.3">
      <c r="B443" s="94">
        <v>46063</v>
      </c>
      <c r="C443" s="37" t="s">
        <v>190</v>
      </c>
      <c r="D443" s="125" t="s">
        <v>183</v>
      </c>
      <c r="E443" s="99" t="str">
        <f>+VLOOKUP(D443,'Código Tambos'!B:C,2)</f>
        <v>Larregain Hnos (TLR)</v>
      </c>
      <c r="F443" s="96">
        <v>6217</v>
      </c>
      <c r="G443" s="97"/>
      <c r="H443" s="97"/>
      <c r="I443" s="95">
        <v>2.9</v>
      </c>
      <c r="J443" s="95"/>
      <c r="K443" s="96"/>
    </row>
    <row r="444" spans="2:11" x14ac:dyDescent="0.3">
      <c r="B444" s="84">
        <v>46063</v>
      </c>
      <c r="C444" s="32" t="s">
        <v>191</v>
      </c>
      <c r="D444" s="135">
        <v>13</v>
      </c>
      <c r="E444" s="77" t="str">
        <f>+VLOOKUP(D444,'Código Tambos'!B:C,2)</f>
        <v>Estancia Aleluya</v>
      </c>
      <c r="F444" s="74">
        <v>7752</v>
      </c>
      <c r="G444" s="73">
        <v>24398</v>
      </c>
      <c r="H444" s="73">
        <f>+G444-SUM(F444:F447)</f>
        <v>90</v>
      </c>
      <c r="I444" s="72">
        <v>3.8</v>
      </c>
      <c r="J444" s="72"/>
      <c r="K444" s="74"/>
    </row>
    <row r="445" spans="2:11" x14ac:dyDescent="0.3">
      <c r="B445" s="86">
        <v>46064</v>
      </c>
      <c r="C445" s="76" t="s">
        <v>192</v>
      </c>
      <c r="D445" s="127">
        <v>10</v>
      </c>
      <c r="E445" s="77" t="str">
        <f>+VLOOKUP(D445,'Código Tambos'!B:C,2)</f>
        <v>Huaca Hue</v>
      </c>
      <c r="F445" s="79">
        <v>8396</v>
      </c>
      <c r="G445" s="78"/>
      <c r="H445" s="78"/>
      <c r="I445" s="77">
        <v>3.1</v>
      </c>
      <c r="J445" s="77"/>
      <c r="K445" s="79"/>
    </row>
    <row r="446" spans="2:11" x14ac:dyDescent="0.3">
      <c r="B446" s="86">
        <v>46064</v>
      </c>
      <c r="C446" s="76" t="s">
        <v>192</v>
      </c>
      <c r="D446" s="127" t="s">
        <v>184</v>
      </c>
      <c r="E446" s="77" t="str">
        <f>+VLOOKUP(D446,'Código Tambos'!B:C,2)</f>
        <v>Larregain Hnos (TLR)</v>
      </c>
      <c r="F446" s="79">
        <v>1865</v>
      </c>
      <c r="G446" s="78"/>
      <c r="H446" s="78"/>
      <c r="I446" s="77">
        <v>3.8</v>
      </c>
      <c r="J446" s="77"/>
      <c r="K446" s="79"/>
    </row>
    <row r="447" spans="2:11" x14ac:dyDescent="0.3">
      <c r="B447" s="88">
        <v>46064</v>
      </c>
      <c r="C447" s="33" t="s">
        <v>192</v>
      </c>
      <c r="D447" s="128" t="s">
        <v>183</v>
      </c>
      <c r="E447" s="81" t="str">
        <f>+VLOOKUP(D447,'Código Tambos'!B:C,2)</f>
        <v>Larregain Hnos (TLR)</v>
      </c>
      <c r="F447" s="83">
        <v>6295</v>
      </c>
      <c r="G447" s="82"/>
      <c r="H447" s="82"/>
      <c r="I447" s="81">
        <v>2.8</v>
      </c>
      <c r="J447" s="81"/>
      <c r="K447" s="83"/>
    </row>
    <row r="448" spans="2:11" x14ac:dyDescent="0.3">
      <c r="B448" s="94">
        <v>46077</v>
      </c>
      <c r="C448" s="37" t="s">
        <v>193</v>
      </c>
      <c r="D448" s="125">
        <v>13</v>
      </c>
      <c r="E448" s="95" t="str">
        <f>+VLOOKUP(D448,'Código Tambos'!B:C,2)</f>
        <v>Estancia Aleluya</v>
      </c>
      <c r="F448" s="96">
        <v>7067</v>
      </c>
      <c r="G448" s="97">
        <v>23146</v>
      </c>
      <c r="H448" s="97">
        <f>+G448-SUM(F448:F451)</f>
        <v>3</v>
      </c>
      <c r="I448" s="95">
        <v>2.7</v>
      </c>
      <c r="J448" s="95"/>
      <c r="K448" s="96"/>
    </row>
    <row r="449" spans="2:11" x14ac:dyDescent="0.3">
      <c r="B449" s="94">
        <v>46078</v>
      </c>
      <c r="C449" s="37" t="s">
        <v>194</v>
      </c>
      <c r="D449" s="125">
        <v>10</v>
      </c>
      <c r="E449" s="95" t="str">
        <f>+VLOOKUP(D449,'Código Tambos'!B:C,2)</f>
        <v>Huaca Hue</v>
      </c>
      <c r="F449" s="96">
        <v>8492</v>
      </c>
      <c r="G449" s="97"/>
      <c r="H449" s="97"/>
      <c r="I449" s="95">
        <v>3.1</v>
      </c>
      <c r="J449" s="95"/>
      <c r="K449" s="96"/>
    </row>
    <row r="450" spans="2:11" x14ac:dyDescent="0.3">
      <c r="B450" s="94">
        <v>46078</v>
      </c>
      <c r="C450" s="37" t="s">
        <v>194</v>
      </c>
      <c r="D450" s="125" t="s">
        <v>183</v>
      </c>
      <c r="E450" s="95" t="str">
        <f>+VLOOKUP(D450,'Código Tambos'!B:C,2)</f>
        <v>Larregain Hnos (TLR)</v>
      </c>
      <c r="F450" s="96">
        <v>5757</v>
      </c>
      <c r="G450" s="97"/>
      <c r="H450" s="97"/>
      <c r="I450" s="95">
        <v>3.3</v>
      </c>
      <c r="J450" s="95"/>
      <c r="K450" s="96"/>
    </row>
    <row r="451" spans="2:11" x14ac:dyDescent="0.3">
      <c r="B451" s="94">
        <v>46078</v>
      </c>
      <c r="C451" s="37" t="s">
        <v>194</v>
      </c>
      <c r="D451" s="125" t="s">
        <v>184</v>
      </c>
      <c r="E451" s="99" t="str">
        <f>+VLOOKUP(D451,'Código Tambos'!B:C,2)</f>
        <v>Larregain Hnos (TLR)</v>
      </c>
      <c r="F451" s="96">
        <v>1827</v>
      </c>
      <c r="G451" s="97"/>
      <c r="H451" s="97"/>
      <c r="I451" s="95">
        <v>4.0999999999999996</v>
      </c>
      <c r="J451" s="95"/>
      <c r="K451" s="96"/>
    </row>
    <row r="452" spans="2:11" x14ac:dyDescent="0.3">
      <c r="B452" s="84">
        <v>46078</v>
      </c>
      <c r="C452" s="32" t="s">
        <v>195</v>
      </c>
      <c r="D452" s="135">
        <v>13</v>
      </c>
      <c r="E452" s="77" t="str">
        <f>+VLOOKUP(D452,'Código Tambos'!B:C,2)</f>
        <v>Estancia Aleluya</v>
      </c>
      <c r="F452" s="74">
        <v>7200</v>
      </c>
      <c r="G452" s="73">
        <f>15722+6940</f>
        <v>22662</v>
      </c>
      <c r="H452" s="73">
        <f>+G452-SUM(F452:F455)</f>
        <v>3</v>
      </c>
      <c r="I452" s="72">
        <v>3.8</v>
      </c>
      <c r="J452" s="72"/>
      <c r="K452" s="74"/>
    </row>
    <row r="453" spans="2:11" x14ac:dyDescent="0.3">
      <c r="B453" s="86">
        <v>46079</v>
      </c>
      <c r="C453" s="76" t="s">
        <v>196</v>
      </c>
      <c r="D453" s="127">
        <v>10</v>
      </c>
      <c r="E453" s="77" t="str">
        <f>+VLOOKUP(D453,'Código Tambos'!B:C,2)</f>
        <v>Huaca Hue</v>
      </c>
      <c r="F453" s="79">
        <v>7966</v>
      </c>
      <c r="G453" s="78"/>
      <c r="H453" s="78"/>
      <c r="I453" s="77">
        <v>3.1</v>
      </c>
      <c r="J453" s="77"/>
      <c r="K453" s="79"/>
    </row>
    <row r="454" spans="2:11" x14ac:dyDescent="0.3">
      <c r="B454" s="86">
        <v>46079</v>
      </c>
      <c r="C454" s="76" t="s">
        <v>196</v>
      </c>
      <c r="D454" s="127" t="s">
        <v>183</v>
      </c>
      <c r="E454" s="77" t="str">
        <f>+VLOOKUP(D454,'Código Tambos'!B:C,2)</f>
        <v>Larregain Hnos (TLR)</v>
      </c>
      <c r="F454" s="79">
        <v>5762</v>
      </c>
      <c r="G454" s="78"/>
      <c r="H454" s="78"/>
      <c r="I454" s="77">
        <v>2.8</v>
      </c>
      <c r="J454" s="77"/>
      <c r="K454" s="79"/>
    </row>
    <row r="455" spans="2:11" x14ac:dyDescent="0.3">
      <c r="B455" s="88">
        <v>46079</v>
      </c>
      <c r="C455" s="33" t="s">
        <v>196</v>
      </c>
      <c r="D455" s="128" t="s">
        <v>184</v>
      </c>
      <c r="E455" s="81" t="str">
        <f>+VLOOKUP(D455,'Código Tambos'!B:C,2)</f>
        <v>Larregain Hnos (TLR)</v>
      </c>
      <c r="F455" s="83">
        <v>1731</v>
      </c>
      <c r="G455" s="82"/>
      <c r="H455" s="82"/>
      <c r="I455" s="81">
        <v>3.9</v>
      </c>
      <c r="J455" s="81"/>
      <c r="K455" s="83"/>
    </row>
    <row r="456" spans="2:11" x14ac:dyDescent="0.3">
      <c r="B456" s="94">
        <v>46083</v>
      </c>
      <c r="C456" s="37" t="s">
        <v>197</v>
      </c>
      <c r="D456" s="125">
        <v>13</v>
      </c>
      <c r="E456" s="95" t="str">
        <f>+IFERROR(VLOOKUP(D456,'Código Tambos'!B:C,2,FALSE),"-")</f>
        <v>Estancia Aleluya</v>
      </c>
      <c r="F456" s="96">
        <v>7193</v>
      </c>
      <c r="G456" s="97">
        <v>21920</v>
      </c>
      <c r="H456" s="93">
        <f>+G456-SUM(F456:F458)</f>
        <v>-106</v>
      </c>
      <c r="I456" s="95">
        <v>3</v>
      </c>
      <c r="J456" s="95"/>
      <c r="K456" s="96"/>
    </row>
    <row r="457" spans="2:11" x14ac:dyDescent="0.3">
      <c r="B457" s="94">
        <v>46084</v>
      </c>
      <c r="C457" s="37" t="s">
        <v>198</v>
      </c>
      <c r="D457" s="125">
        <v>10</v>
      </c>
      <c r="E457" s="95" t="str">
        <f>+IFERROR(VLOOKUP(D457,'Código Tambos'!B:C,2,FALSE),"-")</f>
        <v>Huaca Hue</v>
      </c>
      <c r="F457" s="96">
        <v>8735</v>
      </c>
      <c r="G457" s="97"/>
      <c r="H457" s="97"/>
      <c r="I457" s="95">
        <v>3.5</v>
      </c>
      <c r="J457" s="95"/>
      <c r="K457" s="96"/>
    </row>
    <row r="458" spans="2:11" x14ac:dyDescent="0.3">
      <c r="B458" s="94">
        <v>46084</v>
      </c>
      <c r="C458" s="37" t="s">
        <v>199</v>
      </c>
      <c r="D458" s="125" t="s">
        <v>183</v>
      </c>
      <c r="E458" s="95" t="str">
        <f>+IFERROR(VLOOKUP(D458,'Código Tambos'!B:C,2,FALSE),"-")</f>
        <v>Larregain Hnos (TLR)</v>
      </c>
      <c r="F458" s="96">
        <v>6098</v>
      </c>
      <c r="G458" s="97"/>
      <c r="H458" s="97"/>
      <c r="I458" s="95">
        <v>3.2</v>
      </c>
      <c r="J458" s="95"/>
      <c r="K458" s="96"/>
    </row>
    <row r="459" spans="2:11" x14ac:dyDescent="0.3">
      <c r="B459" s="84">
        <v>46084</v>
      </c>
      <c r="C459" s="32" t="s">
        <v>200</v>
      </c>
      <c r="D459" s="135">
        <v>13</v>
      </c>
      <c r="E459" s="77" t="str">
        <f>+IFERROR(VLOOKUP(D459,'Código Tambos'!B:C,2,FALSE),"-")</f>
        <v>Estancia Aleluya</v>
      </c>
      <c r="F459" s="74">
        <v>7581</v>
      </c>
      <c r="G459" s="73">
        <v>24854</v>
      </c>
      <c r="H459" s="73">
        <f>+G459-SUM(F459:F462)</f>
        <v>-27</v>
      </c>
      <c r="I459" s="72">
        <v>3.1</v>
      </c>
      <c r="J459" s="72"/>
      <c r="K459" s="74"/>
    </row>
    <row r="460" spans="2:11" x14ac:dyDescent="0.3">
      <c r="B460" s="86">
        <v>46085</v>
      </c>
      <c r="C460" s="76" t="s">
        <v>201</v>
      </c>
      <c r="D460" s="127">
        <v>10</v>
      </c>
      <c r="E460" s="77" t="str">
        <f>+IFERROR(VLOOKUP(D460,'Código Tambos'!B:C,2,FALSE),"-")</f>
        <v>Huaca Hue</v>
      </c>
      <c r="F460" s="79">
        <v>8161</v>
      </c>
      <c r="G460" s="78"/>
      <c r="H460" s="78"/>
      <c r="I460" s="77">
        <v>3.6</v>
      </c>
      <c r="J460" s="77"/>
      <c r="K460" s="79"/>
    </row>
    <row r="461" spans="2:11" x14ac:dyDescent="0.3">
      <c r="B461" s="86">
        <v>46085</v>
      </c>
      <c r="C461" s="76" t="s">
        <v>201</v>
      </c>
      <c r="D461" s="127" t="s">
        <v>183</v>
      </c>
      <c r="E461" s="77" t="str">
        <f>+IFERROR(VLOOKUP(D461,'Código Tambos'!B:C,2,FALSE),"-")</f>
        <v>Larregain Hnos (TLR)</v>
      </c>
      <c r="F461" s="79">
        <v>5745</v>
      </c>
      <c r="G461" s="78"/>
      <c r="H461" s="78"/>
      <c r="I461" s="77">
        <v>3.8</v>
      </c>
      <c r="J461" s="77"/>
      <c r="K461" s="79"/>
    </row>
    <row r="462" spans="2:11" x14ac:dyDescent="0.3">
      <c r="B462" s="88">
        <v>46085</v>
      </c>
      <c r="C462" s="33" t="s">
        <v>201</v>
      </c>
      <c r="D462" s="128" t="s">
        <v>184</v>
      </c>
      <c r="E462" s="81" t="str">
        <f>+IFERROR(VLOOKUP(D462,'Código Tambos'!B:C,2,FALSE),"-")</f>
        <v>Larregain Hnos (TLR)</v>
      </c>
      <c r="F462" s="83">
        <v>3394</v>
      </c>
      <c r="G462" s="82"/>
      <c r="H462" s="82"/>
      <c r="I462" s="81">
        <v>4.3</v>
      </c>
      <c r="J462" s="81"/>
      <c r="K462" s="83"/>
    </row>
    <row r="463" spans="2:11" x14ac:dyDescent="0.3">
      <c r="B463" s="94">
        <v>46085</v>
      </c>
      <c r="C463" s="37" t="s">
        <v>202</v>
      </c>
      <c r="D463" s="125">
        <v>13</v>
      </c>
      <c r="E463" s="95" t="str">
        <f>+IFERROR(VLOOKUP(D463,'Código Tambos'!B:C,2,FALSE),"-")</f>
        <v>Estancia Aleluya</v>
      </c>
      <c r="F463" s="96">
        <v>7581</v>
      </c>
      <c r="G463" s="97">
        <v>24272</v>
      </c>
      <c r="H463" s="93">
        <f>+G463-SUM(F463:F466)</f>
        <v>395</v>
      </c>
      <c r="I463" s="95">
        <v>3.5</v>
      </c>
      <c r="J463" s="95"/>
      <c r="K463" s="96"/>
    </row>
    <row r="464" spans="2:11" x14ac:dyDescent="0.3">
      <c r="B464" s="94">
        <v>46086</v>
      </c>
      <c r="C464" s="37" t="s">
        <v>203</v>
      </c>
      <c r="D464" s="125">
        <v>10</v>
      </c>
      <c r="E464" s="95" t="str">
        <f>+IFERROR(VLOOKUP(D464,'Código Tambos'!B:C,2,FALSE),"-")</f>
        <v>Huaca Hue</v>
      </c>
      <c r="F464" s="96">
        <v>8479</v>
      </c>
      <c r="G464" s="97"/>
      <c r="H464" s="97"/>
      <c r="I464" s="95">
        <v>3.3</v>
      </c>
      <c r="J464" s="95"/>
      <c r="K464" s="96"/>
    </row>
    <row r="465" spans="2:11" x14ac:dyDescent="0.3">
      <c r="B465" s="94">
        <v>46086</v>
      </c>
      <c r="C465" s="37" t="s">
        <v>203</v>
      </c>
      <c r="D465" s="125" t="s">
        <v>183</v>
      </c>
      <c r="E465" s="95" t="str">
        <f>+IFERROR(VLOOKUP(D465,'Código Tambos'!B:C,2,FALSE),"-")</f>
        <v>Larregain Hnos (TLR)</v>
      </c>
      <c r="F465" s="96">
        <v>6140</v>
      </c>
      <c r="G465" s="97"/>
      <c r="H465" s="97"/>
      <c r="I465" s="95">
        <v>3</v>
      </c>
      <c r="J465" s="95"/>
      <c r="K465" s="96"/>
    </row>
    <row r="466" spans="2:11" x14ac:dyDescent="0.3">
      <c r="B466" s="94">
        <v>46086</v>
      </c>
      <c r="C466" s="37" t="s">
        <v>203</v>
      </c>
      <c r="D466" s="125" t="s">
        <v>184</v>
      </c>
      <c r="E466" s="99" t="str">
        <f>+IFERROR(VLOOKUP(D466,'Código Tambos'!B:C,2,FALSE),"-")</f>
        <v>Larregain Hnos (TLR)</v>
      </c>
      <c r="F466" s="96">
        <v>1677</v>
      </c>
      <c r="G466" s="97"/>
      <c r="H466" s="97"/>
      <c r="I466" s="95">
        <v>4</v>
      </c>
      <c r="J466" s="95"/>
      <c r="K466" s="96"/>
    </row>
    <row r="467" spans="2:11" x14ac:dyDescent="0.3">
      <c r="B467" s="84">
        <v>46088</v>
      </c>
      <c r="C467" s="32" t="s">
        <v>204</v>
      </c>
      <c r="D467" s="135">
        <v>13</v>
      </c>
      <c r="E467" s="77" t="str">
        <f>+IFERROR(VLOOKUP(D467,'Código Tambos'!B:C,2,FALSE),"-")</f>
        <v>Estancia Aleluya</v>
      </c>
      <c r="F467" s="74">
        <v>7211</v>
      </c>
      <c r="G467" s="73">
        <v>22949</v>
      </c>
      <c r="H467" s="73">
        <f>+G467-SUM(F467:F470)</f>
        <v>38</v>
      </c>
      <c r="I467" s="72">
        <v>3.1</v>
      </c>
      <c r="J467" s="72"/>
      <c r="K467" s="74"/>
    </row>
    <row r="468" spans="2:11" x14ac:dyDescent="0.3">
      <c r="B468" s="86">
        <v>46089</v>
      </c>
      <c r="C468" s="76" t="s">
        <v>205</v>
      </c>
      <c r="D468" s="127">
        <v>10</v>
      </c>
      <c r="E468" s="77" t="str">
        <f>+IFERROR(VLOOKUP(D468,'Código Tambos'!B:C,2,FALSE),"-")</f>
        <v>Huaca Hue</v>
      </c>
      <c r="F468" s="79">
        <v>8681</v>
      </c>
      <c r="G468" s="78"/>
      <c r="H468" s="78"/>
      <c r="I468" s="77">
        <v>3.2</v>
      </c>
      <c r="J468" s="77"/>
      <c r="K468" s="79"/>
    </row>
    <row r="469" spans="2:11" x14ac:dyDescent="0.3">
      <c r="B469" s="86">
        <v>46089</v>
      </c>
      <c r="C469" s="76" t="s">
        <v>205</v>
      </c>
      <c r="D469" s="127" t="s">
        <v>183</v>
      </c>
      <c r="E469" s="77" t="str">
        <f>+IFERROR(VLOOKUP(D469,'Código Tambos'!B:C,2,FALSE),"-")</f>
        <v>Larregain Hnos (TLR)</v>
      </c>
      <c r="F469" s="79">
        <v>5852</v>
      </c>
      <c r="G469" s="78"/>
      <c r="H469" s="78"/>
      <c r="I469" s="77">
        <v>3</v>
      </c>
      <c r="J469" s="77"/>
      <c r="K469" s="79"/>
    </row>
    <row r="470" spans="2:11" x14ac:dyDescent="0.3">
      <c r="B470" s="88">
        <v>46089</v>
      </c>
      <c r="C470" s="33" t="s">
        <v>205</v>
      </c>
      <c r="D470" s="128" t="s">
        <v>184</v>
      </c>
      <c r="E470" s="81" t="str">
        <f>+IFERROR(VLOOKUP(D470,'Código Tambos'!B:C,2,FALSE),"-")</f>
        <v>Larregain Hnos (TLR)</v>
      </c>
      <c r="F470" s="83">
        <v>1167</v>
      </c>
      <c r="G470" s="82"/>
      <c r="H470" s="82"/>
      <c r="I470" s="81">
        <v>3.9</v>
      </c>
      <c r="J470" s="81"/>
      <c r="K470" s="83"/>
    </row>
    <row r="471" spans="2:11" x14ac:dyDescent="0.3">
      <c r="B471" s="94">
        <v>46089</v>
      </c>
      <c r="C471" s="37" t="s">
        <v>206</v>
      </c>
      <c r="D471" s="125">
        <v>13</v>
      </c>
      <c r="E471" s="95" t="str">
        <f>+IFERROR(VLOOKUP(D471,'Código Tambos'!B:C,2,FALSE),"-")</f>
        <v>Estancia Aleluya</v>
      </c>
      <c r="F471" s="96">
        <v>7760</v>
      </c>
      <c r="G471" s="97">
        <v>22480</v>
      </c>
      <c r="H471" s="93">
        <f>+G471-SUM(F471:F473)</f>
        <v>16</v>
      </c>
      <c r="I471" s="95">
        <v>3.8</v>
      </c>
      <c r="J471" s="95"/>
      <c r="K471" s="96"/>
    </row>
    <row r="472" spans="2:11" x14ac:dyDescent="0.3">
      <c r="B472" s="94">
        <v>46090</v>
      </c>
      <c r="C472" s="37" t="s">
        <v>207</v>
      </c>
      <c r="D472" s="125">
        <v>10</v>
      </c>
      <c r="E472" s="95" t="str">
        <f>+IFERROR(VLOOKUP(D472,'Código Tambos'!B:C,2,FALSE),"-")</f>
        <v>Huaca Hue</v>
      </c>
      <c r="F472" s="96">
        <v>8824</v>
      </c>
      <c r="G472" s="97"/>
      <c r="H472" s="97"/>
      <c r="I472" s="95">
        <v>3.1</v>
      </c>
      <c r="J472" s="95"/>
      <c r="K472" s="96"/>
    </row>
    <row r="473" spans="2:11" x14ac:dyDescent="0.3">
      <c r="B473" s="94">
        <v>46090</v>
      </c>
      <c r="C473" s="37" t="s">
        <v>207</v>
      </c>
      <c r="D473" s="125" t="s">
        <v>183</v>
      </c>
      <c r="E473" s="95" t="str">
        <f>+IFERROR(VLOOKUP(D473,'Código Tambos'!B:C,2,FALSE),"-")</f>
        <v>Larregain Hnos (TLR)</v>
      </c>
      <c r="F473" s="96">
        <v>5880</v>
      </c>
      <c r="G473" s="97"/>
      <c r="H473" s="97"/>
      <c r="I473" s="95">
        <v>3.2</v>
      </c>
      <c r="J473" s="95"/>
      <c r="K473" s="96"/>
    </row>
    <row r="474" spans="2:11" x14ac:dyDescent="0.3">
      <c r="B474" s="84">
        <v>46090</v>
      </c>
      <c r="C474" s="32" t="s">
        <v>208</v>
      </c>
      <c r="D474" s="135">
        <v>13</v>
      </c>
      <c r="E474" s="77" t="str">
        <f>+IFERROR(VLOOKUP(D474,'Código Tambos'!B:C,2,FALSE),"-")</f>
        <v>Estancia Aleluya</v>
      </c>
      <c r="F474" s="74">
        <v>7952</v>
      </c>
      <c r="G474" s="73">
        <v>24888</v>
      </c>
      <c r="H474" s="73">
        <f>+G474-SUM(F474:F477)</f>
        <v>28</v>
      </c>
      <c r="I474" s="72">
        <v>3.8</v>
      </c>
      <c r="J474" s="72"/>
      <c r="K474" s="74"/>
    </row>
    <row r="475" spans="2:11" x14ac:dyDescent="0.3">
      <c r="B475" s="86">
        <v>46091</v>
      </c>
      <c r="C475" s="76" t="s">
        <v>209</v>
      </c>
      <c r="D475" s="127">
        <v>10</v>
      </c>
      <c r="E475" s="77" t="str">
        <f>+IFERROR(VLOOKUP(D475,'Código Tambos'!B:C,2,FALSE),"-")</f>
        <v>Huaca Hue</v>
      </c>
      <c r="F475" s="79">
        <v>8634</v>
      </c>
      <c r="G475" s="78"/>
      <c r="H475" s="78"/>
      <c r="I475" s="77">
        <v>3.2</v>
      </c>
      <c r="J475" s="77"/>
      <c r="K475" s="79"/>
    </row>
    <row r="476" spans="2:11" x14ac:dyDescent="0.3">
      <c r="B476" s="86">
        <v>46091</v>
      </c>
      <c r="C476" s="76" t="s">
        <v>209</v>
      </c>
      <c r="D476" s="127" t="s">
        <v>183</v>
      </c>
      <c r="E476" s="77" t="str">
        <f>+IFERROR(VLOOKUP(D476,'Código Tambos'!B:C,2,FALSE),"-")</f>
        <v>Larregain Hnos (TLR)</v>
      </c>
      <c r="F476" s="79">
        <v>5988</v>
      </c>
      <c r="G476" s="78"/>
      <c r="H476" s="78"/>
      <c r="I476" s="77">
        <v>3.2</v>
      </c>
      <c r="J476" s="77"/>
      <c r="K476" s="79"/>
    </row>
    <row r="477" spans="2:11" x14ac:dyDescent="0.3">
      <c r="B477" s="88">
        <v>46091</v>
      </c>
      <c r="C477" s="33" t="s">
        <v>209</v>
      </c>
      <c r="D477" s="128" t="s">
        <v>184</v>
      </c>
      <c r="E477" s="81" t="str">
        <f>+IFERROR(VLOOKUP(D477,'Código Tambos'!B:C,2,FALSE),"-")</f>
        <v>Larregain Hnos (TLR)</v>
      </c>
      <c r="F477" s="83">
        <v>2286</v>
      </c>
      <c r="G477" s="82"/>
      <c r="H477" s="82"/>
      <c r="I477" s="81">
        <v>3.8</v>
      </c>
      <c r="J477" s="81"/>
      <c r="K477" s="83"/>
    </row>
    <row r="478" spans="2:11" x14ac:dyDescent="0.3">
      <c r="B478" s="94">
        <v>46091</v>
      </c>
      <c r="C478" s="37" t="s">
        <v>210</v>
      </c>
      <c r="D478" s="125">
        <v>13</v>
      </c>
      <c r="E478" s="95" t="str">
        <f>+IFERROR(VLOOKUP(D478,'Código Tambos'!B:C,2,FALSE),"-")</f>
        <v>Estancia Aleluya</v>
      </c>
      <c r="F478" s="96">
        <v>7752</v>
      </c>
      <c r="G478" s="97">
        <v>23584</v>
      </c>
      <c r="H478" s="93">
        <f>+G478-SUM(F478:F481)</f>
        <v>176</v>
      </c>
      <c r="I478" s="95">
        <v>2.5</v>
      </c>
      <c r="J478" s="95"/>
      <c r="K478" s="96"/>
    </row>
    <row r="479" spans="2:11" x14ac:dyDescent="0.3">
      <c r="B479" s="94">
        <v>46092</v>
      </c>
      <c r="C479" s="37" t="s">
        <v>211</v>
      </c>
      <c r="D479" s="125">
        <v>10</v>
      </c>
      <c r="E479" s="95" t="str">
        <f>+IFERROR(VLOOKUP(D479,'Código Tambos'!B:C,2,FALSE),"-")</f>
        <v>Huaca Hue</v>
      </c>
      <c r="F479" s="96">
        <v>8444</v>
      </c>
      <c r="G479" s="97"/>
      <c r="H479" s="97"/>
      <c r="I479" s="95">
        <v>3.3</v>
      </c>
      <c r="J479" s="95"/>
      <c r="K479" s="96"/>
    </row>
    <row r="480" spans="2:11" x14ac:dyDescent="0.3">
      <c r="B480" s="94">
        <v>46092</v>
      </c>
      <c r="C480" s="37" t="s">
        <v>211</v>
      </c>
      <c r="D480" s="125" t="s">
        <v>183</v>
      </c>
      <c r="E480" s="95" t="str">
        <f>+IFERROR(VLOOKUP(D480,'Código Tambos'!B:C,2,FALSE),"-")</f>
        <v>Larregain Hnos (TLR)</v>
      </c>
      <c r="F480" s="96">
        <v>6030</v>
      </c>
      <c r="G480" s="97"/>
      <c r="H480" s="97"/>
      <c r="I480" s="95">
        <v>3.5</v>
      </c>
      <c r="J480" s="95"/>
      <c r="K480" s="96"/>
    </row>
    <row r="481" spans="2:11" x14ac:dyDescent="0.3">
      <c r="B481" s="94">
        <v>46092</v>
      </c>
      <c r="C481" s="37" t="s">
        <v>211</v>
      </c>
      <c r="D481" s="125" t="s">
        <v>184</v>
      </c>
      <c r="E481" s="99" t="str">
        <f>+IFERROR(VLOOKUP(D481,'Código Tambos'!B:C,2,FALSE),"-")</f>
        <v>Larregain Hnos (TLR)</v>
      </c>
      <c r="F481" s="96">
        <v>1182</v>
      </c>
      <c r="G481" s="97"/>
      <c r="H481" s="97"/>
      <c r="I481" s="95">
        <v>3.9</v>
      </c>
      <c r="J481" s="95"/>
      <c r="K481" s="96"/>
    </row>
    <row r="482" spans="2:11" x14ac:dyDescent="0.3">
      <c r="B482" s="84">
        <v>46095</v>
      </c>
      <c r="C482" s="32" t="s">
        <v>212</v>
      </c>
      <c r="D482" s="135">
        <v>13</v>
      </c>
      <c r="E482" s="77" t="str">
        <f>+IFERROR(VLOOKUP(D482,'Código Tambos'!B:C,2,FALSE),"-")</f>
        <v>Estancia Aleluya</v>
      </c>
      <c r="F482" s="74">
        <v>8070</v>
      </c>
      <c r="G482" s="73">
        <v>22592</v>
      </c>
      <c r="H482" s="73">
        <f>+G482-SUM(F482:F484)</f>
        <v>187</v>
      </c>
      <c r="I482" s="72">
        <v>2.5</v>
      </c>
      <c r="J482" s="72"/>
      <c r="K482" s="74"/>
    </row>
    <row r="483" spans="2:11" x14ac:dyDescent="0.3">
      <c r="B483" s="86">
        <v>46096</v>
      </c>
      <c r="C483" s="76" t="s">
        <v>213</v>
      </c>
      <c r="D483" s="127">
        <v>10</v>
      </c>
      <c r="E483" s="77" t="str">
        <f>+IFERROR(VLOOKUP(D483,'Código Tambos'!B:C,2,FALSE),"-")</f>
        <v>Huaca Hue</v>
      </c>
      <c r="F483" s="79">
        <v>8253</v>
      </c>
      <c r="G483" s="78"/>
      <c r="H483" s="78"/>
      <c r="I483" s="77">
        <v>3.2</v>
      </c>
      <c r="J483" s="77"/>
      <c r="K483" s="79"/>
    </row>
    <row r="484" spans="2:11" x14ac:dyDescent="0.3">
      <c r="B484" s="86">
        <v>46096</v>
      </c>
      <c r="C484" s="76" t="s">
        <v>213</v>
      </c>
      <c r="D484" s="127" t="s">
        <v>183</v>
      </c>
      <c r="E484" s="77" t="str">
        <f>+IFERROR(VLOOKUP(D484,'Código Tambos'!B:C,2,FALSE),"-")</f>
        <v>Larregain Hnos (TLR)</v>
      </c>
      <c r="F484" s="79">
        <v>6082</v>
      </c>
      <c r="G484" s="78"/>
      <c r="H484" s="78"/>
      <c r="I484" s="77">
        <v>3.5</v>
      </c>
      <c r="J484" s="77"/>
      <c r="K484" s="79"/>
    </row>
    <row r="485" spans="2:11" x14ac:dyDescent="0.3">
      <c r="B485" s="94">
        <v>46096</v>
      </c>
      <c r="C485" s="37" t="s">
        <v>214</v>
      </c>
      <c r="D485" s="125">
        <v>13</v>
      </c>
      <c r="E485" s="95" t="str">
        <f>+IFERROR(VLOOKUP(D485,'Código Tambos'!B:C,2,FALSE),"-")</f>
        <v>Estancia Aleluya</v>
      </c>
      <c r="F485" s="96">
        <v>8110</v>
      </c>
      <c r="G485" s="97">
        <v>25060</v>
      </c>
      <c r="H485" s="93">
        <f>+G485-SUM(F485:F488)</f>
        <v>96</v>
      </c>
      <c r="I485" s="95">
        <v>2.2999999999999998</v>
      </c>
      <c r="J485" s="95"/>
      <c r="K485" s="96"/>
    </row>
    <row r="486" spans="2:11" x14ac:dyDescent="0.3">
      <c r="B486" s="94">
        <v>46097</v>
      </c>
      <c r="C486" s="37" t="s">
        <v>215</v>
      </c>
      <c r="D486" s="125">
        <v>10</v>
      </c>
      <c r="E486" s="95" t="str">
        <f>+IFERROR(VLOOKUP(D486,'Código Tambos'!B:C,2,FALSE),"-")</f>
        <v>Huaca Hue</v>
      </c>
      <c r="F486" s="96">
        <v>8634</v>
      </c>
      <c r="G486" s="97"/>
      <c r="H486" s="97"/>
      <c r="I486" s="95">
        <v>3.1</v>
      </c>
      <c r="J486" s="95"/>
      <c r="K486" s="96"/>
    </row>
    <row r="487" spans="2:11" x14ac:dyDescent="0.3">
      <c r="B487" s="94">
        <v>46097</v>
      </c>
      <c r="C487" s="37" t="s">
        <v>215</v>
      </c>
      <c r="D487" s="125" t="s">
        <v>183</v>
      </c>
      <c r="E487" s="95" t="str">
        <f>+IFERROR(VLOOKUP(D487,'Código Tambos'!B:C,2,FALSE),"-")</f>
        <v>Larregain Hnos (TLR)</v>
      </c>
      <c r="F487" s="96">
        <v>6010</v>
      </c>
      <c r="G487" s="97"/>
      <c r="H487" s="97"/>
      <c r="I487" s="95">
        <v>3.2</v>
      </c>
      <c r="J487" s="95"/>
      <c r="K487" s="96"/>
    </row>
    <row r="488" spans="2:11" x14ac:dyDescent="0.3">
      <c r="B488" s="94">
        <v>46097</v>
      </c>
      <c r="C488" s="37" t="s">
        <v>215</v>
      </c>
      <c r="D488" s="125" t="s">
        <v>184</v>
      </c>
      <c r="E488" s="99" t="str">
        <f>+IFERROR(VLOOKUP(D488,'Código Tambos'!B:C,2,FALSE),"-")</f>
        <v>Larregain Hnos (TLR)</v>
      </c>
      <c r="F488" s="96">
        <v>2210</v>
      </c>
      <c r="G488" s="97"/>
      <c r="H488" s="97"/>
      <c r="I488" s="95">
        <v>3.8</v>
      </c>
      <c r="J488" s="95"/>
      <c r="K488" s="96"/>
    </row>
    <row r="489" spans="2:11" x14ac:dyDescent="0.3">
      <c r="B489" s="84">
        <v>46097</v>
      </c>
      <c r="C489" s="32" t="s">
        <v>216</v>
      </c>
      <c r="D489" s="135">
        <v>13</v>
      </c>
      <c r="E489" s="77" t="str">
        <f>+IFERROR(VLOOKUP(D489,'Código Tambos'!B:C,2,FALSE),"-")</f>
        <v>Estancia Aleluya</v>
      </c>
      <c r="F489" s="74">
        <v>7844</v>
      </c>
      <c r="G489" s="73">
        <v>22318</v>
      </c>
      <c r="H489" s="73">
        <f>+G489-SUM(F489:F491)</f>
        <v>-50</v>
      </c>
      <c r="I489" s="72">
        <v>3.8</v>
      </c>
      <c r="J489" s="72"/>
      <c r="K489" s="74"/>
    </row>
    <row r="490" spans="2:11" x14ac:dyDescent="0.3">
      <c r="B490" s="86">
        <v>46098</v>
      </c>
      <c r="C490" s="76" t="s">
        <v>217</v>
      </c>
      <c r="D490" s="127">
        <v>10</v>
      </c>
      <c r="E490" s="77" t="str">
        <f>+IFERROR(VLOOKUP(D490,'Código Tambos'!B:C,2,FALSE),"-")</f>
        <v>Huaca Hue</v>
      </c>
      <c r="F490" s="79">
        <v>8537</v>
      </c>
      <c r="G490" s="78"/>
      <c r="H490" s="78"/>
      <c r="I490" s="77">
        <v>3.5</v>
      </c>
      <c r="J490" s="77"/>
      <c r="K490" s="79"/>
    </row>
    <row r="491" spans="2:11" x14ac:dyDescent="0.3">
      <c r="B491" s="86">
        <v>46098</v>
      </c>
      <c r="C491" s="76" t="s">
        <v>217</v>
      </c>
      <c r="D491" s="127" t="s">
        <v>183</v>
      </c>
      <c r="E491" s="77" t="str">
        <f>+IFERROR(VLOOKUP(D491,'Código Tambos'!B:C,2,FALSE),"-")</f>
        <v>Larregain Hnos (TLR)</v>
      </c>
      <c r="F491" s="79">
        <v>5987</v>
      </c>
      <c r="G491" s="78"/>
      <c r="H491" s="78"/>
      <c r="I491" s="77">
        <v>3.2</v>
      </c>
      <c r="J491" s="77"/>
      <c r="K491" s="79"/>
    </row>
    <row r="492" spans="2:11" x14ac:dyDescent="0.3">
      <c r="B492" s="90">
        <v>46098</v>
      </c>
      <c r="C492" s="28" t="s">
        <v>218</v>
      </c>
      <c r="D492" s="136">
        <v>13</v>
      </c>
      <c r="E492" s="91" t="str">
        <f>+IFERROR(VLOOKUP(D492,'Código Tambos'!B:C,2,FALSE),"-")</f>
        <v>Estancia Aleluya</v>
      </c>
      <c r="F492" s="92">
        <v>7834</v>
      </c>
      <c r="G492" s="93">
        <v>24482</v>
      </c>
      <c r="H492" s="93">
        <f>+G492-SUM(F492:F495)</f>
        <v>-36</v>
      </c>
      <c r="I492" s="91">
        <v>3.5</v>
      </c>
      <c r="J492" s="91"/>
      <c r="K492" s="92"/>
    </row>
    <row r="493" spans="2:11" x14ac:dyDescent="0.3">
      <c r="B493" s="94">
        <v>46099</v>
      </c>
      <c r="C493" s="37" t="s">
        <v>219</v>
      </c>
      <c r="D493" s="125">
        <v>10</v>
      </c>
      <c r="E493" s="95" t="str">
        <f>+IFERROR(VLOOKUP(D493,'Código Tambos'!B:C,2,FALSE),"-")</f>
        <v>Huaca Hue</v>
      </c>
      <c r="F493" s="96">
        <v>8349</v>
      </c>
      <c r="G493" s="97"/>
      <c r="H493" s="97"/>
      <c r="I493" s="95">
        <v>3.5</v>
      </c>
      <c r="J493" s="95"/>
      <c r="K493" s="96"/>
    </row>
    <row r="494" spans="2:11" x14ac:dyDescent="0.3">
      <c r="B494" s="94">
        <v>46099</v>
      </c>
      <c r="C494" s="37" t="s">
        <v>219</v>
      </c>
      <c r="D494" s="125" t="s">
        <v>183</v>
      </c>
      <c r="E494" s="95" t="str">
        <f>+IFERROR(VLOOKUP(D494,'Código Tambos'!B:C,2,FALSE),"-")</f>
        <v>Larregain Hnos (TLR)</v>
      </c>
      <c r="F494" s="96">
        <v>5982</v>
      </c>
      <c r="G494" s="97"/>
      <c r="H494" s="97"/>
      <c r="I494" s="95">
        <v>3.4</v>
      </c>
      <c r="J494" s="95"/>
      <c r="K494" s="96"/>
    </row>
    <row r="495" spans="2:11" x14ac:dyDescent="0.3">
      <c r="B495" s="98">
        <v>46099</v>
      </c>
      <c r="C495" s="30" t="s">
        <v>219</v>
      </c>
      <c r="D495" s="126" t="s">
        <v>184</v>
      </c>
      <c r="E495" s="99" t="str">
        <f>+IFERROR(VLOOKUP(D495,'Código Tambos'!B:C,2,FALSE),"-")</f>
        <v>Larregain Hnos (TLR)</v>
      </c>
      <c r="F495" s="100">
        <v>2353</v>
      </c>
      <c r="G495" s="101"/>
      <c r="H495" s="101"/>
      <c r="I495" s="99">
        <v>4</v>
      </c>
      <c r="J495" s="99"/>
      <c r="K495" s="100"/>
    </row>
    <row r="496" spans="2:11" x14ac:dyDescent="0.3">
      <c r="B496" s="84">
        <v>46116</v>
      </c>
      <c r="C496" s="32" t="s">
        <v>220</v>
      </c>
      <c r="D496" s="135" t="s">
        <v>221</v>
      </c>
      <c r="E496" s="72" t="s">
        <v>11</v>
      </c>
      <c r="F496" s="74">
        <v>6827</v>
      </c>
      <c r="G496" s="73">
        <f>15088+6708</f>
        <v>21796</v>
      </c>
      <c r="H496" s="73">
        <f>+G496-SUM(F496:F499)</f>
        <v>19</v>
      </c>
      <c r="I496" s="72">
        <v>2.4</v>
      </c>
      <c r="J496" s="72"/>
      <c r="K496" s="74"/>
    </row>
    <row r="497" spans="2:11" x14ac:dyDescent="0.3">
      <c r="B497" s="86">
        <v>46117</v>
      </c>
      <c r="C497" s="76" t="s">
        <v>222</v>
      </c>
      <c r="D497" s="127" t="s">
        <v>223</v>
      </c>
      <c r="E497" s="77" t="s">
        <v>8</v>
      </c>
      <c r="F497" s="79">
        <v>8240</v>
      </c>
      <c r="G497" s="78"/>
      <c r="H497" s="78"/>
      <c r="I497" s="77">
        <v>3</v>
      </c>
      <c r="J497" s="77"/>
      <c r="K497" s="79"/>
    </row>
    <row r="498" spans="2:11" x14ac:dyDescent="0.3">
      <c r="B498" s="86">
        <v>46117</v>
      </c>
      <c r="C498" s="76" t="s">
        <v>222</v>
      </c>
      <c r="D498" s="127" t="s">
        <v>183</v>
      </c>
      <c r="E498" s="77" t="s">
        <v>182</v>
      </c>
      <c r="F498" s="79">
        <v>4616</v>
      </c>
      <c r="G498" s="78"/>
      <c r="H498" s="78"/>
      <c r="I498" s="77">
        <v>3.2</v>
      </c>
      <c r="J498" s="77"/>
      <c r="K498" s="79"/>
    </row>
    <row r="499" spans="2:11" x14ac:dyDescent="0.3">
      <c r="B499" s="88">
        <v>46117</v>
      </c>
      <c r="C499" s="33" t="s">
        <v>222</v>
      </c>
      <c r="D499" s="128" t="s">
        <v>184</v>
      </c>
      <c r="E499" s="81" t="s">
        <v>182</v>
      </c>
      <c r="F499" s="83">
        <v>2094</v>
      </c>
      <c r="G499" s="82"/>
      <c r="H499" s="82"/>
      <c r="I499" s="81">
        <v>3.8</v>
      </c>
      <c r="J499" s="81"/>
      <c r="K499" s="83"/>
    </row>
    <row r="500" spans="2:11" x14ac:dyDescent="0.3">
      <c r="B500" s="90">
        <v>46117</v>
      </c>
      <c r="C500" s="28" t="s">
        <v>224</v>
      </c>
      <c r="D500" s="136" t="s">
        <v>221</v>
      </c>
      <c r="E500" s="91" t="s">
        <v>11</v>
      </c>
      <c r="F500" s="92">
        <v>7370</v>
      </c>
      <c r="G500" s="93">
        <v>20098</v>
      </c>
      <c r="H500" s="93">
        <f>+G500-SUM(F500:F502)</f>
        <v>7</v>
      </c>
      <c r="I500" s="91">
        <v>2.6</v>
      </c>
      <c r="J500" s="91"/>
      <c r="K500" s="92"/>
    </row>
    <row r="501" spans="2:11" x14ac:dyDescent="0.3">
      <c r="B501" s="94">
        <v>46118</v>
      </c>
      <c r="C501" s="37" t="s">
        <v>225</v>
      </c>
      <c r="D501" s="125" t="s">
        <v>223</v>
      </c>
      <c r="E501" s="95" t="s">
        <v>8</v>
      </c>
      <c r="F501" s="96">
        <v>7935</v>
      </c>
      <c r="G501" s="97"/>
      <c r="H501" s="97"/>
      <c r="I501" s="95">
        <v>3.1</v>
      </c>
      <c r="J501" s="95"/>
      <c r="K501" s="96"/>
    </row>
    <row r="502" spans="2:11" x14ac:dyDescent="0.3">
      <c r="B502" s="98">
        <v>46118</v>
      </c>
      <c r="C502" s="30" t="s">
        <v>225</v>
      </c>
      <c r="D502" s="126" t="s">
        <v>183</v>
      </c>
      <c r="E502" s="99" t="s">
        <v>182</v>
      </c>
      <c r="F502" s="100">
        <v>4786</v>
      </c>
      <c r="G502" s="101"/>
      <c r="H502" s="101"/>
      <c r="I502" s="99">
        <v>3.1</v>
      </c>
      <c r="J502" s="99"/>
      <c r="K502" s="100"/>
    </row>
    <row r="503" spans="2:11" x14ac:dyDescent="0.3">
      <c r="B503" s="84">
        <v>46118</v>
      </c>
      <c r="C503" s="32" t="s">
        <v>226</v>
      </c>
      <c r="D503" s="135" t="s">
        <v>221</v>
      </c>
      <c r="E503" s="72" t="s">
        <v>11</v>
      </c>
      <c r="F503" s="74">
        <v>7254</v>
      </c>
      <c r="G503" s="73">
        <f>17710+7062</f>
        <v>24772</v>
      </c>
      <c r="H503" s="73">
        <f>+G503-SUM(F503:F506)</f>
        <v>194</v>
      </c>
      <c r="I503" s="72">
        <v>3</v>
      </c>
      <c r="J503" s="72"/>
      <c r="K503" s="74"/>
    </row>
    <row r="504" spans="2:11" x14ac:dyDescent="0.3">
      <c r="B504" s="86">
        <v>46119</v>
      </c>
      <c r="C504" s="76" t="s">
        <v>227</v>
      </c>
      <c r="D504" s="127" t="s">
        <v>223</v>
      </c>
      <c r="E504" s="77" t="s">
        <v>8</v>
      </c>
      <c r="F504" s="79">
        <v>8439</v>
      </c>
      <c r="G504" s="78"/>
      <c r="H504" s="78"/>
      <c r="I504" s="77">
        <v>3.2</v>
      </c>
      <c r="J504" s="77"/>
      <c r="K504" s="79"/>
    </row>
    <row r="505" spans="2:11" x14ac:dyDescent="0.3">
      <c r="B505" s="86">
        <v>46119</v>
      </c>
      <c r="C505" s="76" t="s">
        <v>227</v>
      </c>
      <c r="D505" s="127" t="s">
        <v>183</v>
      </c>
      <c r="E505" s="77" t="s">
        <v>182</v>
      </c>
      <c r="F505" s="79">
        <v>4702</v>
      </c>
      <c r="G505" s="78"/>
      <c r="H505" s="78"/>
      <c r="I505" s="77">
        <v>3.5</v>
      </c>
      <c r="J505" s="77"/>
      <c r="K505" s="79"/>
    </row>
    <row r="506" spans="2:11" x14ac:dyDescent="0.3">
      <c r="B506" s="88">
        <v>46119</v>
      </c>
      <c r="C506" s="33" t="s">
        <v>227</v>
      </c>
      <c r="D506" s="128" t="s">
        <v>184</v>
      </c>
      <c r="E506" s="81" t="s">
        <v>182</v>
      </c>
      <c r="F506" s="83">
        <v>4183</v>
      </c>
      <c r="G506" s="82"/>
      <c r="H506" s="82"/>
      <c r="I506" s="81">
        <v>3.5</v>
      </c>
      <c r="J506" s="81"/>
      <c r="K506" s="83"/>
    </row>
    <row r="507" spans="2:11" x14ac:dyDescent="0.3">
      <c r="B507" s="90">
        <v>46119</v>
      </c>
      <c r="C507" s="28" t="s">
        <v>228</v>
      </c>
      <c r="D507" s="136" t="s">
        <v>221</v>
      </c>
      <c r="E507" s="91" t="s">
        <v>11</v>
      </c>
      <c r="F507" s="92">
        <v>6941</v>
      </c>
      <c r="G507" s="93">
        <f>14172+6796</f>
        <v>20968</v>
      </c>
      <c r="H507" s="93">
        <f>+G507-SUM(F507:F509)</f>
        <v>453</v>
      </c>
      <c r="I507" s="91">
        <v>3.2</v>
      </c>
      <c r="J507" s="91"/>
      <c r="K507" s="92"/>
    </row>
    <row r="508" spans="2:11" x14ac:dyDescent="0.3">
      <c r="B508" s="94">
        <v>46120</v>
      </c>
      <c r="C508" s="37" t="s">
        <v>229</v>
      </c>
      <c r="D508" s="125" t="s">
        <v>223</v>
      </c>
      <c r="E508" s="95" t="s">
        <v>8</v>
      </c>
      <c r="F508" s="96">
        <v>8634</v>
      </c>
      <c r="G508" s="97"/>
      <c r="H508" s="97"/>
      <c r="I508" s="95">
        <v>3.3</v>
      </c>
      <c r="J508" s="95"/>
      <c r="K508" s="96"/>
    </row>
    <row r="509" spans="2:11" x14ac:dyDescent="0.3">
      <c r="B509" s="98">
        <v>46120</v>
      </c>
      <c r="C509" s="30" t="s">
        <v>229</v>
      </c>
      <c r="D509" s="126" t="s">
        <v>183</v>
      </c>
      <c r="E509" s="99" t="s">
        <v>182</v>
      </c>
      <c r="F509" s="100">
        <v>4940</v>
      </c>
      <c r="G509" s="101"/>
      <c r="H509" s="101"/>
      <c r="I509" s="99">
        <v>3.6</v>
      </c>
      <c r="J509" s="99"/>
      <c r="K509" s="100"/>
    </row>
    <row r="510" spans="2:11" x14ac:dyDescent="0.3">
      <c r="B510" s="84">
        <v>46120</v>
      </c>
      <c r="C510" s="32" t="s">
        <v>230</v>
      </c>
      <c r="D510" s="135" t="s">
        <v>221</v>
      </c>
      <c r="E510" s="72" t="s">
        <v>11</v>
      </c>
      <c r="F510" s="74">
        <v>6979</v>
      </c>
      <c r="G510" s="73">
        <f>19200+6976</f>
        <v>26176</v>
      </c>
      <c r="H510" s="73">
        <f>+G510-SUM(F510:F513)</f>
        <v>943</v>
      </c>
      <c r="I510" s="72">
        <v>2.9</v>
      </c>
      <c r="J510" s="72"/>
      <c r="K510" s="74"/>
    </row>
    <row r="511" spans="2:11" x14ac:dyDescent="0.3">
      <c r="B511" s="86">
        <v>46121</v>
      </c>
      <c r="C511" s="76" t="s">
        <v>231</v>
      </c>
      <c r="D511" s="127" t="s">
        <v>223</v>
      </c>
      <c r="E511" s="77" t="s">
        <v>8</v>
      </c>
      <c r="F511" s="79">
        <v>9017</v>
      </c>
      <c r="G511" s="78"/>
      <c r="H511" s="78"/>
      <c r="I511" s="77">
        <v>3.1</v>
      </c>
      <c r="J511" s="77"/>
      <c r="K511" s="79"/>
    </row>
    <row r="512" spans="2:11" x14ac:dyDescent="0.3">
      <c r="B512" s="86">
        <v>46121</v>
      </c>
      <c r="C512" s="76" t="s">
        <v>231</v>
      </c>
      <c r="D512" s="127" t="s">
        <v>183</v>
      </c>
      <c r="E512" s="77" t="s">
        <v>182</v>
      </c>
      <c r="F512" s="79">
        <v>4939</v>
      </c>
      <c r="G512" s="78"/>
      <c r="H512" s="78"/>
      <c r="I512" s="77">
        <v>3.3</v>
      </c>
      <c r="J512" s="77"/>
      <c r="K512" s="79"/>
    </row>
    <row r="513" spans="2:11" x14ac:dyDescent="0.3">
      <c r="B513" s="88">
        <v>46121</v>
      </c>
      <c r="C513" s="33" t="s">
        <v>231</v>
      </c>
      <c r="D513" s="128" t="s">
        <v>184</v>
      </c>
      <c r="E513" s="81" t="s">
        <v>182</v>
      </c>
      <c r="F513" s="83">
        <v>4298</v>
      </c>
      <c r="G513" s="82"/>
      <c r="H513" s="82"/>
      <c r="I513" s="81">
        <v>4</v>
      </c>
      <c r="J513" s="81"/>
      <c r="K513" s="83"/>
    </row>
    <row r="514" spans="2:11" x14ac:dyDescent="0.3">
      <c r="B514" s="90">
        <v>46123</v>
      </c>
      <c r="C514" s="28" t="s">
        <v>232</v>
      </c>
      <c r="D514" s="136" t="s">
        <v>221</v>
      </c>
      <c r="E514" s="91" t="s">
        <v>11</v>
      </c>
      <c r="F514" s="92">
        <v>7230</v>
      </c>
      <c r="G514" s="93">
        <v>21548</v>
      </c>
      <c r="H514" s="93">
        <f>+G514-SUM(F514:F516)</f>
        <v>821</v>
      </c>
      <c r="I514" s="91">
        <v>2.8</v>
      </c>
      <c r="J514" s="91"/>
      <c r="K514" s="92"/>
    </row>
    <row r="515" spans="2:11" x14ac:dyDescent="0.3">
      <c r="B515" s="94">
        <v>46124</v>
      </c>
      <c r="C515" s="37" t="s">
        <v>233</v>
      </c>
      <c r="D515" s="125" t="s">
        <v>223</v>
      </c>
      <c r="E515" s="95" t="s">
        <v>8</v>
      </c>
      <c r="F515" s="96">
        <v>8253</v>
      </c>
      <c r="G515" s="97"/>
      <c r="H515" s="97"/>
      <c r="I515" s="95">
        <v>3.1</v>
      </c>
      <c r="J515" s="95"/>
      <c r="K515" s="96"/>
    </row>
    <row r="516" spans="2:11" x14ac:dyDescent="0.3">
      <c r="B516" s="98">
        <v>46124</v>
      </c>
      <c r="C516" s="30" t="s">
        <v>233</v>
      </c>
      <c r="D516" s="126" t="s">
        <v>183</v>
      </c>
      <c r="E516" s="99" t="s">
        <v>182</v>
      </c>
      <c r="F516" s="100">
        <v>5244</v>
      </c>
      <c r="G516" s="101"/>
      <c r="H516" s="101"/>
      <c r="I516" s="99">
        <v>3.1</v>
      </c>
      <c r="J516" s="99"/>
      <c r="K516" s="100"/>
    </row>
    <row r="517" spans="2:11" x14ac:dyDescent="0.3">
      <c r="B517" s="107">
        <v>46124</v>
      </c>
      <c r="C517" s="108" t="s">
        <v>234</v>
      </c>
      <c r="D517" s="174" t="s">
        <v>221</v>
      </c>
      <c r="E517" s="109" t="s">
        <v>11</v>
      </c>
      <c r="F517" s="110">
        <v>7451</v>
      </c>
      <c r="G517" s="111">
        <v>7366</v>
      </c>
      <c r="H517" s="111">
        <f>+G517-SUM(F517:F517)</f>
        <v>-85</v>
      </c>
      <c r="I517" s="109">
        <v>3.8</v>
      </c>
      <c r="J517" s="109"/>
      <c r="K517" s="110"/>
    </row>
    <row r="518" spans="2:11" x14ac:dyDescent="0.3">
      <c r="B518" s="90">
        <v>46125</v>
      </c>
      <c r="C518" s="28" t="s">
        <v>235</v>
      </c>
      <c r="D518" s="136" t="s">
        <v>223</v>
      </c>
      <c r="E518" s="91" t="s">
        <v>8</v>
      </c>
      <c r="F518" s="92">
        <v>8704</v>
      </c>
      <c r="G518" s="115">
        <f>17978+7420</f>
        <v>25398</v>
      </c>
      <c r="H518" s="93">
        <f>+G518-SUM(F518:F521)</f>
        <v>-224</v>
      </c>
      <c r="I518" s="92">
        <v>3.3</v>
      </c>
      <c r="J518" s="91"/>
      <c r="K518" s="92"/>
    </row>
    <row r="519" spans="2:11" x14ac:dyDescent="0.3">
      <c r="B519" s="94">
        <v>46125</v>
      </c>
      <c r="C519" s="37" t="s">
        <v>235</v>
      </c>
      <c r="D519" s="125" t="s">
        <v>183</v>
      </c>
      <c r="E519" s="95" t="s">
        <v>182</v>
      </c>
      <c r="F519" s="96">
        <v>5141</v>
      </c>
      <c r="G519" s="113"/>
      <c r="H519" s="97"/>
      <c r="I519" s="96">
        <v>2.9</v>
      </c>
      <c r="J519" s="95"/>
      <c r="K519" s="96"/>
    </row>
    <row r="520" spans="2:11" x14ac:dyDescent="0.3">
      <c r="B520" s="94">
        <v>46125</v>
      </c>
      <c r="C520" s="37" t="s">
        <v>235</v>
      </c>
      <c r="D520" s="125" t="s">
        <v>184</v>
      </c>
      <c r="E520" s="95" t="s">
        <v>182</v>
      </c>
      <c r="F520" s="96">
        <v>4205</v>
      </c>
      <c r="G520" s="113"/>
      <c r="H520" s="97"/>
      <c r="I520" s="96">
        <v>3.6</v>
      </c>
      <c r="J520" s="95"/>
      <c r="K520" s="96"/>
    </row>
    <row r="521" spans="2:11" x14ac:dyDescent="0.3">
      <c r="B521" s="98">
        <v>46125</v>
      </c>
      <c r="C521" s="30" t="s">
        <v>237</v>
      </c>
      <c r="D521" s="126" t="s">
        <v>221</v>
      </c>
      <c r="E521" s="99" t="s">
        <v>11</v>
      </c>
      <c r="F521" s="100">
        <v>7572</v>
      </c>
      <c r="G521" s="116"/>
      <c r="H521" s="101"/>
      <c r="I521" s="100">
        <v>2.5</v>
      </c>
      <c r="J521" s="99"/>
      <c r="K521" s="100"/>
    </row>
    <row r="522" spans="2:11" x14ac:dyDescent="0.3">
      <c r="B522" s="84">
        <v>46126</v>
      </c>
      <c r="C522" s="32" t="s">
        <v>236</v>
      </c>
      <c r="D522" s="135" t="s">
        <v>223</v>
      </c>
      <c r="E522" s="72" t="s">
        <v>8</v>
      </c>
      <c r="F522" s="74">
        <v>8948</v>
      </c>
      <c r="G522" s="117">
        <v>16174</v>
      </c>
      <c r="H522" s="73">
        <f>+G522-SUM(F522:F524)</f>
        <v>-171</v>
      </c>
      <c r="I522" s="74">
        <v>3.2</v>
      </c>
      <c r="J522" s="72"/>
      <c r="K522" s="74"/>
    </row>
    <row r="523" spans="2:11" x14ac:dyDescent="0.3">
      <c r="B523" s="86">
        <v>46126</v>
      </c>
      <c r="C523" s="76" t="s">
        <v>236</v>
      </c>
      <c r="D523" s="127" t="s">
        <v>183</v>
      </c>
      <c r="E523" s="77" t="s">
        <v>182</v>
      </c>
      <c r="F523" s="79">
        <v>5281</v>
      </c>
      <c r="G523" s="118"/>
      <c r="H523" s="78"/>
      <c r="I523" s="79">
        <v>2.7</v>
      </c>
      <c r="J523" s="77"/>
      <c r="K523" s="79"/>
    </row>
    <row r="524" spans="2:11" x14ac:dyDescent="0.3">
      <c r="B524" s="88">
        <v>46126</v>
      </c>
      <c r="C524" s="33" t="s">
        <v>236</v>
      </c>
      <c r="D524" s="128" t="s">
        <v>184</v>
      </c>
      <c r="E524" s="81" t="s">
        <v>182</v>
      </c>
      <c r="F524" s="83">
        <v>2116</v>
      </c>
      <c r="G524" s="119"/>
      <c r="H524" s="82"/>
      <c r="I524" s="83">
        <v>3.8</v>
      </c>
      <c r="J524" s="81"/>
      <c r="K524" s="83"/>
    </row>
    <row r="525" spans="2:11" x14ac:dyDescent="0.3">
      <c r="B525" s="90">
        <v>46130</v>
      </c>
      <c r="C525" s="28" t="s">
        <v>238</v>
      </c>
      <c r="D525" s="136">
        <v>13</v>
      </c>
      <c r="E525" s="91" t="str">
        <f>+IFERROR(VLOOKUP(D525,'Código Tambos'!B:C,2,FALSE),"-")</f>
        <v>Estancia Aleluya</v>
      </c>
      <c r="F525" s="92">
        <v>7375</v>
      </c>
      <c r="G525" s="93">
        <v>25176</v>
      </c>
      <c r="H525" s="93">
        <f>+G525-SUM(F525:F527)</f>
        <v>96</v>
      </c>
      <c r="I525" s="91">
        <v>3.2</v>
      </c>
      <c r="J525" s="91"/>
      <c r="K525" s="92"/>
    </row>
    <row r="526" spans="2:11" x14ac:dyDescent="0.3">
      <c r="B526" s="94">
        <v>46131</v>
      </c>
      <c r="C526" s="37" t="s">
        <v>239</v>
      </c>
      <c r="D526" s="125">
        <v>10</v>
      </c>
      <c r="E526" s="95" t="str">
        <f>+IFERROR(VLOOKUP(D526,'Código Tambos'!B:C,2,FALSE),"-")</f>
        <v>Huaca Hue</v>
      </c>
      <c r="F526" s="96">
        <v>9053</v>
      </c>
      <c r="G526" s="97"/>
      <c r="H526" s="97"/>
      <c r="I526" s="95">
        <v>3.3</v>
      </c>
      <c r="J526" s="95"/>
      <c r="K526" s="96"/>
    </row>
    <row r="527" spans="2:11" x14ac:dyDescent="0.3">
      <c r="B527" s="98">
        <v>46131</v>
      </c>
      <c r="C527" s="30" t="s">
        <v>239</v>
      </c>
      <c r="D527" s="126" t="s">
        <v>240</v>
      </c>
      <c r="E527" s="99" t="s">
        <v>10</v>
      </c>
      <c r="F527" s="100">
        <v>8652</v>
      </c>
      <c r="G527" s="101"/>
      <c r="H527" s="101"/>
      <c r="I527" s="99">
        <v>2</v>
      </c>
      <c r="J527" s="99"/>
      <c r="K527" s="100"/>
    </row>
    <row r="528" spans="2:11" x14ac:dyDescent="0.3">
      <c r="B528" s="84">
        <v>46130</v>
      </c>
      <c r="C528" s="32" t="s">
        <v>241</v>
      </c>
      <c r="D528" s="135" t="s">
        <v>242</v>
      </c>
      <c r="E528" s="72" t="s">
        <v>243</v>
      </c>
      <c r="F528" s="72">
        <v>4266</v>
      </c>
      <c r="G528" s="120">
        <v>24877</v>
      </c>
      <c r="H528" s="73">
        <f>+G528-SUM(F528:F532)</f>
        <v>-145</v>
      </c>
      <c r="I528" s="72">
        <v>3.5</v>
      </c>
      <c r="J528" s="85"/>
      <c r="K528" s="72"/>
    </row>
    <row r="529" spans="2:11" x14ac:dyDescent="0.3">
      <c r="B529" s="86">
        <v>46131</v>
      </c>
      <c r="C529" s="76" t="s">
        <v>244</v>
      </c>
      <c r="D529" s="127" t="s">
        <v>245</v>
      </c>
      <c r="E529" s="77" t="s">
        <v>246</v>
      </c>
      <c r="F529" s="77">
        <v>10392</v>
      </c>
      <c r="G529" s="114"/>
      <c r="H529" s="78"/>
      <c r="I529" s="77">
        <v>4.9000000000000004</v>
      </c>
      <c r="J529" s="87"/>
      <c r="K529" s="77"/>
    </row>
    <row r="530" spans="2:11" x14ac:dyDescent="0.3">
      <c r="B530" s="86">
        <v>46131</v>
      </c>
      <c r="C530" s="76" t="s">
        <v>244</v>
      </c>
      <c r="D530" s="127" t="s">
        <v>184</v>
      </c>
      <c r="E530" s="77" t="s">
        <v>182</v>
      </c>
      <c r="F530" s="77">
        <v>1785</v>
      </c>
      <c r="G530" s="114"/>
      <c r="H530" s="78"/>
      <c r="I530" s="77">
        <v>4.8</v>
      </c>
      <c r="J530" s="87"/>
      <c r="K530" s="77"/>
    </row>
    <row r="531" spans="2:11" x14ac:dyDescent="0.3">
      <c r="B531" s="86">
        <v>46131</v>
      </c>
      <c r="C531" s="76" t="s">
        <v>244</v>
      </c>
      <c r="D531" s="127" t="s">
        <v>183</v>
      </c>
      <c r="E531" s="77" t="s">
        <v>182</v>
      </c>
      <c r="F531" s="77">
        <v>5322</v>
      </c>
      <c r="G531" s="114"/>
      <c r="H531" s="78"/>
      <c r="I531" s="77">
        <v>4.5</v>
      </c>
      <c r="J531" s="87"/>
      <c r="K531" s="77"/>
    </row>
    <row r="532" spans="2:11" x14ac:dyDescent="0.3">
      <c r="B532" s="88">
        <v>46131</v>
      </c>
      <c r="C532" s="33" t="s">
        <v>244</v>
      </c>
      <c r="D532" s="128" t="s">
        <v>247</v>
      </c>
      <c r="E532" s="81" t="s">
        <v>9</v>
      </c>
      <c r="F532" s="81">
        <v>3257</v>
      </c>
      <c r="G532" s="121"/>
      <c r="H532" s="82"/>
      <c r="I532" s="81">
        <v>4</v>
      </c>
      <c r="J532" s="89"/>
      <c r="K532" s="81"/>
    </row>
    <row r="533" spans="2:11" x14ac:dyDescent="0.3">
      <c r="B533" s="90">
        <v>46131</v>
      </c>
      <c r="C533" s="28" t="s">
        <v>248</v>
      </c>
      <c r="D533" s="136" t="s">
        <v>221</v>
      </c>
      <c r="E533" s="91" t="s">
        <v>11</v>
      </c>
      <c r="F533" s="92">
        <v>7328</v>
      </c>
      <c r="G533" s="122">
        <v>25076</v>
      </c>
      <c r="H533" s="93">
        <f>+G533-SUM(F533:F535)</f>
        <v>96</v>
      </c>
      <c r="I533" s="91">
        <v>2.9</v>
      </c>
      <c r="J533" s="91"/>
      <c r="K533" s="92"/>
    </row>
    <row r="534" spans="2:11" x14ac:dyDescent="0.3">
      <c r="B534" s="94">
        <v>46132</v>
      </c>
      <c r="C534" s="37" t="s">
        <v>249</v>
      </c>
      <c r="D534" s="125" t="s">
        <v>223</v>
      </c>
      <c r="E534" s="95" t="s">
        <v>8</v>
      </c>
      <c r="F534" s="96">
        <v>8955</v>
      </c>
      <c r="G534" s="123"/>
      <c r="H534" s="97"/>
      <c r="I534" s="95">
        <v>3.1</v>
      </c>
      <c r="J534" s="95"/>
      <c r="K534" s="96"/>
    </row>
    <row r="535" spans="2:11" x14ac:dyDescent="0.3">
      <c r="B535" s="98">
        <v>46132</v>
      </c>
      <c r="C535" s="30" t="s">
        <v>249</v>
      </c>
      <c r="D535" s="126" t="s">
        <v>240</v>
      </c>
      <c r="E535" s="99" t="s">
        <v>10</v>
      </c>
      <c r="F535" s="100">
        <v>8697</v>
      </c>
      <c r="G535" s="124"/>
      <c r="H535" s="101"/>
      <c r="I535" s="99">
        <v>2.1</v>
      </c>
      <c r="J535" s="99"/>
      <c r="K535" s="100"/>
    </row>
    <row r="536" spans="2:11" x14ac:dyDescent="0.3">
      <c r="B536" s="84">
        <v>46131</v>
      </c>
      <c r="C536" s="32" t="s">
        <v>250</v>
      </c>
      <c r="D536" s="135" t="s">
        <v>242</v>
      </c>
      <c r="E536" s="72" t="s">
        <v>243</v>
      </c>
      <c r="F536" s="74">
        <v>3845</v>
      </c>
      <c r="G536" s="120">
        <f>21350+3890</f>
        <v>25240</v>
      </c>
      <c r="H536" s="73">
        <f>+G536-SUM(F536:F540)</f>
        <v>81</v>
      </c>
      <c r="I536" s="72">
        <v>4</v>
      </c>
      <c r="J536" s="85"/>
      <c r="K536" s="72"/>
    </row>
    <row r="537" spans="2:11" x14ac:dyDescent="0.3">
      <c r="B537" s="86">
        <v>46132</v>
      </c>
      <c r="C537" s="76" t="s">
        <v>251</v>
      </c>
      <c r="D537" s="127" t="s">
        <v>245</v>
      </c>
      <c r="E537" s="77" t="s">
        <v>246</v>
      </c>
      <c r="F537" s="79">
        <v>10729</v>
      </c>
      <c r="G537" s="114"/>
      <c r="H537" s="78"/>
      <c r="I537" s="77">
        <v>4.9000000000000004</v>
      </c>
      <c r="J537" s="87"/>
      <c r="K537" s="77"/>
    </row>
    <row r="538" spans="2:11" x14ac:dyDescent="0.3">
      <c r="B538" s="86">
        <v>46132</v>
      </c>
      <c r="C538" s="76" t="s">
        <v>251</v>
      </c>
      <c r="D538" s="127" t="s">
        <v>184</v>
      </c>
      <c r="E538" s="77" t="s">
        <v>182</v>
      </c>
      <c r="F538" s="79">
        <v>1942</v>
      </c>
      <c r="G538" s="114"/>
      <c r="H538" s="78"/>
      <c r="I538" s="77">
        <v>2</v>
      </c>
      <c r="J538" s="87"/>
      <c r="K538" s="77"/>
    </row>
    <row r="539" spans="2:11" x14ac:dyDescent="0.3">
      <c r="B539" s="86">
        <v>46132</v>
      </c>
      <c r="C539" s="76" t="s">
        <v>251</v>
      </c>
      <c r="D539" s="127" t="s">
        <v>183</v>
      </c>
      <c r="E539" s="77" t="s">
        <v>182</v>
      </c>
      <c r="F539" s="79">
        <v>5400</v>
      </c>
      <c r="G539" s="114"/>
      <c r="H539" s="78"/>
      <c r="I539" s="77">
        <v>4.0999999999999996</v>
      </c>
      <c r="J539" s="87"/>
      <c r="K539" s="77"/>
    </row>
    <row r="540" spans="2:11" x14ac:dyDescent="0.3">
      <c r="B540" s="88">
        <v>46132</v>
      </c>
      <c r="C540" s="33" t="s">
        <v>251</v>
      </c>
      <c r="D540" s="128" t="s">
        <v>247</v>
      </c>
      <c r="E540" s="81" t="s">
        <v>9</v>
      </c>
      <c r="F540" s="83">
        <v>3243</v>
      </c>
      <c r="G540" s="121"/>
      <c r="H540" s="82"/>
      <c r="I540" s="81">
        <v>4.0999999999999996</v>
      </c>
      <c r="J540" s="89"/>
      <c r="K540" s="81"/>
    </row>
    <row r="541" spans="2:11" x14ac:dyDescent="0.3">
      <c r="B541" s="90">
        <v>46132</v>
      </c>
      <c r="C541" s="28" t="s">
        <v>252</v>
      </c>
      <c r="D541" s="136" t="s">
        <v>221</v>
      </c>
      <c r="E541" s="91" t="s">
        <v>11</v>
      </c>
      <c r="F541" s="92">
        <v>7536</v>
      </c>
      <c r="G541" s="122">
        <v>23514</v>
      </c>
      <c r="H541" s="93">
        <f>+G541-SUM(F541:F544)</f>
        <v>-157</v>
      </c>
      <c r="I541" s="91">
        <v>2.5</v>
      </c>
      <c r="J541" s="91"/>
      <c r="K541" s="92"/>
    </row>
    <row r="542" spans="2:11" x14ac:dyDescent="0.3">
      <c r="B542" s="94">
        <v>46133</v>
      </c>
      <c r="C542" s="37" t="s">
        <v>253</v>
      </c>
      <c r="D542" s="125" t="s">
        <v>223</v>
      </c>
      <c r="E542" s="95" t="s">
        <v>8</v>
      </c>
      <c r="F542" s="96">
        <v>8851</v>
      </c>
      <c r="G542" s="123"/>
      <c r="H542" s="97"/>
      <c r="I542" s="95">
        <v>3</v>
      </c>
      <c r="J542" s="95"/>
      <c r="K542" s="96"/>
    </row>
    <row r="543" spans="2:11" x14ac:dyDescent="0.3">
      <c r="B543" s="94">
        <v>46133</v>
      </c>
      <c r="C543" s="37" t="s">
        <v>253</v>
      </c>
      <c r="D543" s="125" t="s">
        <v>183</v>
      </c>
      <c r="E543" s="95" t="s">
        <v>182</v>
      </c>
      <c r="F543" s="96">
        <v>5307</v>
      </c>
      <c r="G543" s="123"/>
      <c r="H543" s="97"/>
      <c r="I543" s="95">
        <v>3</v>
      </c>
      <c r="J543" s="95"/>
      <c r="K543" s="96"/>
    </row>
    <row r="544" spans="2:11" x14ac:dyDescent="0.3">
      <c r="B544" s="98">
        <v>46133</v>
      </c>
      <c r="C544" s="30" t="s">
        <v>253</v>
      </c>
      <c r="D544" s="126" t="s">
        <v>184</v>
      </c>
      <c r="E544" s="99" t="s">
        <v>182</v>
      </c>
      <c r="F544" s="100">
        <v>1977</v>
      </c>
      <c r="G544" s="124"/>
      <c r="H544" s="101"/>
      <c r="I544" s="99">
        <v>3.6</v>
      </c>
      <c r="J544" s="99"/>
      <c r="K544" s="100"/>
    </row>
    <row r="545" spans="2:11" x14ac:dyDescent="0.3">
      <c r="B545" s="84">
        <v>46137</v>
      </c>
      <c r="C545" s="32" t="s">
        <v>254</v>
      </c>
      <c r="D545" s="135" t="s">
        <v>242</v>
      </c>
      <c r="E545" s="72" t="s">
        <v>243</v>
      </c>
      <c r="F545" s="74">
        <v>3988</v>
      </c>
      <c r="G545" s="120">
        <v>24522</v>
      </c>
      <c r="H545" s="73">
        <f>+G545-SUM(F545:F549)</f>
        <v>-140</v>
      </c>
      <c r="I545" s="72">
        <v>3.3</v>
      </c>
      <c r="J545" s="72"/>
      <c r="K545" s="74"/>
    </row>
    <row r="546" spans="2:11" x14ac:dyDescent="0.3">
      <c r="B546" s="86">
        <v>46138</v>
      </c>
      <c r="C546" s="76" t="s">
        <v>255</v>
      </c>
      <c r="D546" s="127" t="s">
        <v>245</v>
      </c>
      <c r="E546" s="77" t="s">
        <v>246</v>
      </c>
      <c r="F546" s="79">
        <v>9982</v>
      </c>
      <c r="G546" s="114"/>
      <c r="H546" s="78"/>
      <c r="I546" s="77">
        <v>3.6</v>
      </c>
      <c r="J546" s="77"/>
      <c r="K546" s="79"/>
    </row>
    <row r="547" spans="2:11" x14ac:dyDescent="0.3">
      <c r="B547" s="86">
        <v>46138</v>
      </c>
      <c r="C547" s="76" t="s">
        <v>255</v>
      </c>
      <c r="D547" s="127" t="s">
        <v>184</v>
      </c>
      <c r="E547" s="77" t="s">
        <v>182</v>
      </c>
      <c r="F547" s="79">
        <v>1885</v>
      </c>
      <c r="G547" s="114"/>
      <c r="H547" s="78"/>
      <c r="I547" s="77">
        <v>3.4</v>
      </c>
      <c r="J547" s="77"/>
      <c r="K547" s="79"/>
    </row>
    <row r="548" spans="2:11" x14ac:dyDescent="0.3">
      <c r="B548" s="86">
        <v>46138</v>
      </c>
      <c r="C548" s="76" t="s">
        <v>255</v>
      </c>
      <c r="D548" s="127" t="s">
        <v>183</v>
      </c>
      <c r="E548" s="77" t="s">
        <v>182</v>
      </c>
      <c r="F548" s="79">
        <v>5571</v>
      </c>
      <c r="G548" s="114"/>
      <c r="H548" s="78"/>
      <c r="I548" s="77">
        <v>2.5</v>
      </c>
      <c r="J548" s="77"/>
      <c r="K548" s="79"/>
    </row>
    <row r="549" spans="2:11" x14ac:dyDescent="0.3">
      <c r="B549" s="88">
        <v>46138</v>
      </c>
      <c r="C549" s="33" t="s">
        <v>255</v>
      </c>
      <c r="D549" s="128" t="s">
        <v>247</v>
      </c>
      <c r="E549" s="81" t="s">
        <v>9</v>
      </c>
      <c r="F549" s="83">
        <v>3236</v>
      </c>
      <c r="G549" s="121"/>
      <c r="H549" s="82"/>
      <c r="I549" s="81">
        <v>4.5</v>
      </c>
      <c r="J549" s="81"/>
      <c r="K549" s="83"/>
    </row>
    <row r="550" spans="2:11" x14ac:dyDescent="0.3">
      <c r="B550" s="90">
        <v>46137</v>
      </c>
      <c r="C550" s="28" t="s">
        <v>256</v>
      </c>
      <c r="D550" s="136">
        <v>13</v>
      </c>
      <c r="E550" s="91" t="str">
        <f>+IFERROR(VLOOKUP(D550,'Código Tambos'!B:C,2,FALSE),"-")</f>
        <v>Estancia Aleluya</v>
      </c>
      <c r="F550" s="92">
        <v>7245</v>
      </c>
      <c r="G550" s="93">
        <v>24542</v>
      </c>
      <c r="H550" s="93">
        <f>+G550-SUM(F550:F552)</f>
        <v>46</v>
      </c>
      <c r="I550" s="91">
        <v>3.5</v>
      </c>
      <c r="J550" s="91"/>
      <c r="K550" s="92"/>
    </row>
    <row r="551" spans="2:11" x14ac:dyDescent="0.3">
      <c r="B551" s="94">
        <v>46138</v>
      </c>
      <c r="C551" s="37" t="s">
        <v>257</v>
      </c>
      <c r="D551" s="125">
        <v>10</v>
      </c>
      <c r="E551" s="95" t="str">
        <f>+IFERROR(VLOOKUP(D551,'Código Tambos'!B:C,2,FALSE),"-")</f>
        <v>Huaca Hue</v>
      </c>
      <c r="F551" s="96">
        <v>8749</v>
      </c>
      <c r="G551" s="97"/>
      <c r="H551" s="97"/>
      <c r="I551" s="95">
        <v>2.9</v>
      </c>
      <c r="J551" s="95"/>
      <c r="K551" s="96"/>
    </row>
    <row r="552" spans="2:11" x14ac:dyDescent="0.3">
      <c r="B552" s="98">
        <v>46138</v>
      </c>
      <c r="C552" s="30" t="s">
        <v>257</v>
      </c>
      <c r="D552" s="126" t="s">
        <v>240</v>
      </c>
      <c r="E552" s="99" t="s">
        <v>10</v>
      </c>
      <c r="F552" s="100">
        <v>8502</v>
      </c>
      <c r="G552" s="101"/>
      <c r="H552" s="101"/>
      <c r="I552" s="99">
        <v>2.1</v>
      </c>
      <c r="J552" s="99"/>
      <c r="K552" s="100"/>
    </row>
    <row r="553" spans="2:11" x14ac:dyDescent="0.3">
      <c r="B553" s="84">
        <v>46138</v>
      </c>
      <c r="C553" s="32" t="s">
        <v>258</v>
      </c>
      <c r="D553" s="135" t="s">
        <v>221</v>
      </c>
      <c r="E553" s="72" t="s">
        <v>11</v>
      </c>
      <c r="F553" s="74">
        <v>7178</v>
      </c>
      <c r="G553" s="73">
        <v>21188</v>
      </c>
      <c r="H553" s="73">
        <f>+G553-SUM(F553:F555)</f>
        <v>31</v>
      </c>
      <c r="I553" s="72">
        <v>4.0999999999999996</v>
      </c>
      <c r="J553" s="72"/>
      <c r="K553" s="74"/>
    </row>
    <row r="554" spans="2:11" x14ac:dyDescent="0.3">
      <c r="B554" s="86">
        <v>46139</v>
      </c>
      <c r="C554" s="76" t="s">
        <v>259</v>
      </c>
      <c r="D554" s="127" t="s">
        <v>223</v>
      </c>
      <c r="E554" s="77" t="s">
        <v>8</v>
      </c>
      <c r="F554" s="79">
        <v>8610</v>
      </c>
      <c r="G554" s="78"/>
      <c r="H554" s="78"/>
      <c r="I554" s="77">
        <v>3</v>
      </c>
      <c r="J554" s="77"/>
      <c r="K554" s="79"/>
    </row>
    <row r="555" spans="2:11" x14ac:dyDescent="0.3">
      <c r="B555" s="88">
        <v>46139</v>
      </c>
      <c r="C555" s="33" t="s">
        <v>259</v>
      </c>
      <c r="D555" s="128" t="s">
        <v>183</v>
      </c>
      <c r="E555" s="81" t="s">
        <v>182</v>
      </c>
      <c r="F555" s="83">
        <v>5369</v>
      </c>
      <c r="G555" s="82"/>
      <c r="H555" s="82"/>
      <c r="I555" s="81">
        <v>2.8</v>
      </c>
      <c r="J555" s="81"/>
      <c r="K555" s="83"/>
    </row>
    <row r="556" spans="2:11" x14ac:dyDescent="0.3">
      <c r="B556" s="90">
        <v>46144</v>
      </c>
      <c r="C556" s="28" t="s">
        <v>260</v>
      </c>
      <c r="D556" s="136" t="s">
        <v>221</v>
      </c>
      <c r="E556" s="91" t="s">
        <v>11</v>
      </c>
      <c r="F556" s="92">
        <v>7208</v>
      </c>
      <c r="G556" s="93">
        <f>7070+4489</f>
        <v>11559</v>
      </c>
      <c r="H556" s="93">
        <f>+G556-SUM(F556:F557)</f>
        <v>-138</v>
      </c>
      <c r="I556" s="91">
        <v>2.5</v>
      </c>
      <c r="J556" s="91"/>
      <c r="K556" s="92"/>
    </row>
    <row r="557" spans="2:11" x14ac:dyDescent="0.3">
      <c r="B557" s="98">
        <v>46144</v>
      </c>
      <c r="C557" s="30" t="s">
        <v>261</v>
      </c>
      <c r="D557" s="126" t="s">
        <v>242</v>
      </c>
      <c r="E557" s="99" t="s">
        <v>243</v>
      </c>
      <c r="F557" s="100">
        <v>4489</v>
      </c>
      <c r="G557" s="101"/>
      <c r="H557" s="101"/>
      <c r="I557" s="99">
        <v>3.7</v>
      </c>
      <c r="J557" s="99"/>
      <c r="K557" s="100"/>
    </row>
    <row r="558" spans="2:11" x14ac:dyDescent="0.3">
      <c r="B558" s="84">
        <v>46145</v>
      </c>
      <c r="C558" s="32" t="s">
        <v>262</v>
      </c>
      <c r="D558" s="135" t="s">
        <v>223</v>
      </c>
      <c r="E558" s="72" t="s">
        <v>8</v>
      </c>
      <c r="F558" s="74">
        <v>8415</v>
      </c>
      <c r="G558" s="73">
        <f>16862+20513</f>
        <v>37375</v>
      </c>
      <c r="H558" s="73">
        <f>+G558-SUM(F558:F563)</f>
        <v>493</v>
      </c>
      <c r="I558" s="72">
        <v>2.9</v>
      </c>
      <c r="J558" s="72"/>
      <c r="K558" s="74"/>
    </row>
    <row r="559" spans="2:11" x14ac:dyDescent="0.3">
      <c r="B559" s="86">
        <v>46145</v>
      </c>
      <c r="C559" s="76" t="s">
        <v>262</v>
      </c>
      <c r="D559" s="127" t="s">
        <v>240</v>
      </c>
      <c r="E559" s="77" t="s">
        <v>10</v>
      </c>
      <c r="F559" s="79">
        <v>8150</v>
      </c>
      <c r="G559" s="78"/>
      <c r="H559" s="78"/>
      <c r="I559" s="77">
        <v>1.9</v>
      </c>
      <c r="J559" s="77"/>
      <c r="K559" s="79"/>
    </row>
    <row r="560" spans="2:11" x14ac:dyDescent="0.3">
      <c r="B560" s="86">
        <v>46145</v>
      </c>
      <c r="C560" s="76" t="s">
        <v>263</v>
      </c>
      <c r="D560" s="127" t="s">
        <v>245</v>
      </c>
      <c r="E560" s="77" t="s">
        <v>246</v>
      </c>
      <c r="F560" s="79">
        <v>9175</v>
      </c>
      <c r="G560" s="78"/>
      <c r="H560" s="78"/>
      <c r="I560" s="77">
        <v>3.6</v>
      </c>
      <c r="J560" s="77"/>
      <c r="K560" s="79"/>
    </row>
    <row r="561" spans="2:11" x14ac:dyDescent="0.3">
      <c r="B561" s="86">
        <v>46145</v>
      </c>
      <c r="C561" s="76" t="s">
        <v>263</v>
      </c>
      <c r="D561" s="127" t="s">
        <v>184</v>
      </c>
      <c r="E561" s="77" t="s">
        <v>182</v>
      </c>
      <c r="F561" s="79">
        <v>1935</v>
      </c>
      <c r="G561" s="78"/>
      <c r="H561" s="78"/>
      <c r="I561" s="77">
        <v>3.3</v>
      </c>
      <c r="J561" s="77"/>
      <c r="K561" s="79"/>
    </row>
    <row r="562" spans="2:11" x14ac:dyDescent="0.3">
      <c r="B562" s="86">
        <v>46145</v>
      </c>
      <c r="C562" s="76" t="s">
        <v>263</v>
      </c>
      <c r="D562" s="127" t="s">
        <v>183</v>
      </c>
      <c r="E562" s="77" t="s">
        <v>182</v>
      </c>
      <c r="F562" s="79">
        <v>5900</v>
      </c>
      <c r="G562" s="78"/>
      <c r="H562" s="78"/>
      <c r="I562" s="77">
        <v>2.9</v>
      </c>
      <c r="J562" s="77"/>
      <c r="K562" s="79"/>
    </row>
    <row r="563" spans="2:11" x14ac:dyDescent="0.3">
      <c r="B563" s="88">
        <v>46145</v>
      </c>
      <c r="C563" s="33" t="s">
        <v>263</v>
      </c>
      <c r="D563" s="128" t="s">
        <v>247</v>
      </c>
      <c r="E563" s="81" t="s">
        <v>9</v>
      </c>
      <c r="F563" s="83">
        <v>3307</v>
      </c>
      <c r="G563" s="82"/>
      <c r="H563" s="82"/>
      <c r="I563" s="81">
        <v>4.2</v>
      </c>
      <c r="J563" s="81"/>
      <c r="K563" s="83"/>
    </row>
    <row r="564" spans="2:11" x14ac:dyDescent="0.3">
      <c r="B564" s="90">
        <v>46145</v>
      </c>
      <c r="C564" s="28" t="s">
        <v>264</v>
      </c>
      <c r="D564" s="136" t="s">
        <v>221</v>
      </c>
      <c r="E564" s="91" t="s">
        <v>11</v>
      </c>
      <c r="F564" s="92">
        <v>7099</v>
      </c>
      <c r="G564" s="93">
        <f>3960+7604</f>
        <v>11564</v>
      </c>
      <c r="H564" s="93">
        <f>+G564-SUM(F564:F565)</f>
        <v>-180</v>
      </c>
      <c r="I564" s="91">
        <v>2.2999999999999998</v>
      </c>
      <c r="J564" s="91"/>
      <c r="K564" s="92"/>
    </row>
    <row r="565" spans="2:11" x14ac:dyDescent="0.3">
      <c r="B565" s="98">
        <v>46145</v>
      </c>
      <c r="C565" s="30" t="s">
        <v>265</v>
      </c>
      <c r="D565" s="126" t="s">
        <v>242</v>
      </c>
      <c r="E565" s="99" t="s">
        <v>243</v>
      </c>
      <c r="F565" s="100">
        <v>4645</v>
      </c>
      <c r="G565" s="101"/>
      <c r="H565" s="101"/>
      <c r="I565" s="99">
        <v>3.9</v>
      </c>
      <c r="J565" s="99"/>
      <c r="K565" s="100"/>
    </row>
    <row r="566" spans="2:11" x14ac:dyDescent="0.3">
      <c r="B566" s="84">
        <v>46146</v>
      </c>
      <c r="C566" s="32" t="s">
        <v>266</v>
      </c>
      <c r="D566" s="135" t="s">
        <v>223</v>
      </c>
      <c r="E566" s="72" t="s">
        <v>8</v>
      </c>
      <c r="F566" s="74">
        <v>8426</v>
      </c>
      <c r="G566" s="73">
        <f>20936+16714</f>
        <v>37650</v>
      </c>
      <c r="H566" s="73">
        <f>+G566-SUM(F566:F571)</f>
        <v>0</v>
      </c>
      <c r="I566" s="72">
        <v>3.1</v>
      </c>
      <c r="J566" s="72"/>
      <c r="K566" s="74"/>
    </row>
    <row r="567" spans="2:11" x14ac:dyDescent="0.3">
      <c r="B567" s="86">
        <v>46146</v>
      </c>
      <c r="C567" s="76" t="s">
        <v>266</v>
      </c>
      <c r="D567" s="127" t="s">
        <v>240</v>
      </c>
      <c r="E567" s="77" t="s">
        <v>10</v>
      </c>
      <c r="F567" s="79">
        <v>8288</v>
      </c>
      <c r="G567" s="78"/>
      <c r="H567" s="78"/>
      <c r="I567" s="77">
        <v>2.2000000000000002</v>
      </c>
      <c r="J567" s="77"/>
      <c r="K567" s="79"/>
    </row>
    <row r="568" spans="2:11" x14ac:dyDescent="0.3">
      <c r="B568" s="86">
        <v>46146</v>
      </c>
      <c r="C568" s="76" t="s">
        <v>267</v>
      </c>
      <c r="D568" s="127" t="s">
        <v>245</v>
      </c>
      <c r="E568" s="77" t="s">
        <v>246</v>
      </c>
      <c r="F568" s="79">
        <v>9744</v>
      </c>
      <c r="G568" s="78"/>
      <c r="H568" s="78"/>
      <c r="I568" s="77">
        <v>4.0999999999999996</v>
      </c>
      <c r="J568" s="77"/>
      <c r="K568" s="79"/>
    </row>
    <row r="569" spans="2:11" x14ac:dyDescent="0.3">
      <c r="B569" s="86">
        <v>46146</v>
      </c>
      <c r="C569" s="76" t="s">
        <v>267</v>
      </c>
      <c r="D569" s="127" t="s">
        <v>184</v>
      </c>
      <c r="E569" s="77" t="s">
        <v>182</v>
      </c>
      <c r="F569" s="79">
        <v>1962</v>
      </c>
      <c r="G569" s="78"/>
      <c r="H569" s="78"/>
      <c r="I569" s="77">
        <v>3.5</v>
      </c>
      <c r="J569" s="77"/>
      <c r="K569" s="79"/>
    </row>
    <row r="570" spans="2:11" x14ac:dyDescent="0.3">
      <c r="B570" s="86">
        <v>46146</v>
      </c>
      <c r="C570" s="76" t="s">
        <v>267</v>
      </c>
      <c r="D570" s="127" t="s">
        <v>183</v>
      </c>
      <c r="E570" s="77" t="str">
        <f>+IFERROR(VLOOKUP(D570,'Código Tambos'!B:C,2,FALSE),"-")</f>
        <v>Larregain Hnos (TLR)</v>
      </c>
      <c r="F570" s="79">
        <v>6016</v>
      </c>
      <c r="G570" s="78"/>
      <c r="H570" s="78"/>
      <c r="I570" s="77">
        <v>3.2</v>
      </c>
      <c r="J570" s="77"/>
      <c r="K570" s="79"/>
    </row>
    <row r="571" spans="2:11" x14ac:dyDescent="0.3">
      <c r="B571" s="88">
        <v>46146</v>
      </c>
      <c r="C571" s="33" t="s">
        <v>267</v>
      </c>
      <c r="D571" s="128">
        <v>12</v>
      </c>
      <c r="E571" s="81" t="str">
        <f>+IFERROR(VLOOKUP(D571,'Código Tambos'!B:C,2,FALSE),"-")</f>
        <v>Santa Isabel</v>
      </c>
      <c r="F571" s="83">
        <v>3214</v>
      </c>
      <c r="G571" s="82"/>
      <c r="H571" s="82"/>
      <c r="I571" s="81">
        <v>4.2</v>
      </c>
      <c r="J571" s="81"/>
      <c r="K571" s="83"/>
    </row>
    <row r="572" spans="2:11" x14ac:dyDescent="0.3">
      <c r="B572" s="90">
        <v>46146</v>
      </c>
      <c r="C572" s="28" t="s">
        <v>268</v>
      </c>
      <c r="D572" s="136">
        <v>13</v>
      </c>
      <c r="E572" s="91" t="s">
        <v>11</v>
      </c>
      <c r="F572" s="92">
        <v>7214</v>
      </c>
      <c r="G572" s="93">
        <f>7300+4136</f>
        <v>11436</v>
      </c>
      <c r="H572" s="93">
        <f>+G572-SUM(F572:F573)</f>
        <v>-167</v>
      </c>
      <c r="I572" s="91">
        <v>2.2999999999999998</v>
      </c>
      <c r="J572" s="91"/>
      <c r="K572" s="92"/>
    </row>
    <row r="573" spans="2:11" x14ac:dyDescent="0.3">
      <c r="B573" s="98">
        <v>46146</v>
      </c>
      <c r="C573" s="30" t="s">
        <v>269</v>
      </c>
      <c r="D573" s="126">
        <v>22</v>
      </c>
      <c r="E573" s="99" t="s">
        <v>243</v>
      </c>
      <c r="F573" s="100">
        <v>4389</v>
      </c>
      <c r="G573" s="101"/>
      <c r="H573" s="101"/>
      <c r="I573" s="99">
        <v>3.9</v>
      </c>
      <c r="J573" s="99"/>
      <c r="K573" s="100"/>
    </row>
    <row r="574" spans="2:11" x14ac:dyDescent="0.3">
      <c r="B574" s="84">
        <v>46147</v>
      </c>
      <c r="C574" s="32" t="s">
        <v>270</v>
      </c>
      <c r="D574" s="135">
        <v>10</v>
      </c>
      <c r="E574" s="72" t="s">
        <v>8</v>
      </c>
      <c r="F574" s="74">
        <v>8301</v>
      </c>
      <c r="G574" s="73">
        <f>21318+17138</f>
        <v>38456</v>
      </c>
      <c r="H574" s="73">
        <f>+G574-SUM(F574:F579)</f>
        <v>87</v>
      </c>
      <c r="I574" s="72">
        <v>3.1</v>
      </c>
      <c r="J574" s="72"/>
      <c r="K574" s="74"/>
    </row>
    <row r="575" spans="2:11" x14ac:dyDescent="0.3">
      <c r="B575" s="86">
        <v>46147</v>
      </c>
      <c r="C575" s="76" t="s">
        <v>270</v>
      </c>
      <c r="D575" s="127">
        <v>11</v>
      </c>
      <c r="E575" s="77" t="s">
        <v>10</v>
      </c>
      <c r="F575" s="79">
        <v>8750</v>
      </c>
      <c r="G575" s="78"/>
      <c r="H575" s="78"/>
      <c r="I575" s="77">
        <v>2.1</v>
      </c>
      <c r="J575" s="77"/>
      <c r="K575" s="79"/>
    </row>
    <row r="576" spans="2:11" x14ac:dyDescent="0.3">
      <c r="B576" s="86">
        <v>46147</v>
      </c>
      <c r="C576" s="76" t="s">
        <v>271</v>
      </c>
      <c r="D576" s="127">
        <v>17</v>
      </c>
      <c r="E576" s="77" t="s">
        <v>246</v>
      </c>
      <c r="F576" s="79">
        <v>9906</v>
      </c>
      <c r="G576" s="78"/>
      <c r="H576" s="78"/>
      <c r="I576" s="77">
        <v>4.5999999999999996</v>
      </c>
      <c r="J576" s="77"/>
      <c r="K576" s="79"/>
    </row>
    <row r="577" spans="2:11" x14ac:dyDescent="0.3">
      <c r="B577" s="86">
        <v>46147</v>
      </c>
      <c r="C577" s="76" t="s">
        <v>271</v>
      </c>
      <c r="D577" s="127" t="s">
        <v>184</v>
      </c>
      <c r="E577" s="77" t="s">
        <v>182</v>
      </c>
      <c r="F577" s="79">
        <v>1881</v>
      </c>
      <c r="G577" s="78"/>
      <c r="H577" s="78"/>
      <c r="I577" s="77">
        <v>3.4</v>
      </c>
      <c r="J577" s="77"/>
      <c r="K577" s="79"/>
    </row>
    <row r="578" spans="2:11" x14ac:dyDescent="0.3">
      <c r="B578" s="86">
        <v>46147</v>
      </c>
      <c r="C578" s="76" t="s">
        <v>271</v>
      </c>
      <c r="D578" s="127" t="s">
        <v>183</v>
      </c>
      <c r="E578" s="77" t="s">
        <v>182</v>
      </c>
      <c r="F578" s="79">
        <v>6102</v>
      </c>
      <c r="G578" s="78"/>
      <c r="H578" s="78"/>
      <c r="I578" s="77">
        <v>2.8</v>
      </c>
      <c r="J578" s="77"/>
      <c r="K578" s="79"/>
    </row>
    <row r="579" spans="2:11" x14ac:dyDescent="0.3">
      <c r="B579" s="88">
        <v>46147</v>
      </c>
      <c r="C579" s="33" t="s">
        <v>271</v>
      </c>
      <c r="D579" s="128">
        <v>12</v>
      </c>
      <c r="E579" s="81" t="s">
        <v>9</v>
      </c>
      <c r="F579" s="83">
        <v>3429</v>
      </c>
      <c r="G579" s="82"/>
      <c r="H579" s="82"/>
      <c r="I579" s="81">
        <v>4.8</v>
      </c>
      <c r="J579" s="81"/>
      <c r="K579" s="83"/>
    </row>
    <row r="580" spans="2:11" x14ac:dyDescent="0.3">
      <c r="B580" s="90">
        <v>46147</v>
      </c>
      <c r="C580" s="28" t="s">
        <v>272</v>
      </c>
      <c r="D580" s="136">
        <v>13</v>
      </c>
      <c r="E580" s="91" t="s">
        <v>11</v>
      </c>
      <c r="F580" s="92">
        <v>7471</v>
      </c>
      <c r="G580" s="93">
        <f>7608+7141</f>
        <v>14749</v>
      </c>
      <c r="H580" s="93">
        <f>+G580-SUM(F580:F581)</f>
        <v>2777</v>
      </c>
      <c r="I580" s="91">
        <v>2.6</v>
      </c>
      <c r="J580" s="91"/>
      <c r="K580" s="92"/>
    </row>
    <row r="581" spans="2:11" x14ac:dyDescent="0.3">
      <c r="B581" s="98">
        <v>46147</v>
      </c>
      <c r="C581" s="30" t="s">
        <v>273</v>
      </c>
      <c r="D581" s="126">
        <v>22</v>
      </c>
      <c r="E581" s="99" t="s">
        <v>243</v>
      </c>
      <c r="F581" s="100">
        <v>4501</v>
      </c>
      <c r="G581" s="101"/>
      <c r="H581" s="101"/>
      <c r="I581" s="99">
        <v>3.8</v>
      </c>
      <c r="J581" s="99"/>
      <c r="K581" s="100"/>
    </row>
    <row r="582" spans="2:11" x14ac:dyDescent="0.3">
      <c r="B582" s="84">
        <v>46148</v>
      </c>
      <c r="C582" s="32" t="s">
        <v>274</v>
      </c>
      <c r="D582" s="135">
        <v>17</v>
      </c>
      <c r="E582" s="72" t="s">
        <v>246</v>
      </c>
      <c r="F582" s="74">
        <v>9848</v>
      </c>
      <c r="G582" s="73">
        <f>17728+17802</f>
        <v>35530</v>
      </c>
      <c r="H582" s="73">
        <f>+G582-SUM(F582:F587)</f>
        <v>-2800</v>
      </c>
      <c r="I582" s="72">
        <v>5.5</v>
      </c>
      <c r="J582" s="72"/>
      <c r="K582" s="74"/>
    </row>
    <row r="583" spans="2:11" x14ac:dyDescent="0.3">
      <c r="B583" s="86">
        <v>46148</v>
      </c>
      <c r="C583" s="76" t="s">
        <v>274</v>
      </c>
      <c r="D583" s="127" t="s">
        <v>184</v>
      </c>
      <c r="E583" s="77" t="s">
        <v>182</v>
      </c>
      <c r="F583" s="79">
        <v>1919</v>
      </c>
      <c r="G583" s="78"/>
      <c r="H583" s="78"/>
      <c r="I583" s="77">
        <v>3.5</v>
      </c>
      <c r="J583" s="77"/>
      <c r="K583" s="79"/>
    </row>
    <row r="584" spans="2:11" x14ac:dyDescent="0.3">
      <c r="B584" s="86">
        <v>46148</v>
      </c>
      <c r="C584" s="76" t="s">
        <v>274</v>
      </c>
      <c r="D584" s="127" t="s">
        <v>183</v>
      </c>
      <c r="E584" s="77" t="s">
        <v>182</v>
      </c>
      <c r="F584" s="79">
        <v>6043</v>
      </c>
      <c r="G584" s="78"/>
      <c r="H584" s="78"/>
      <c r="I584" s="77">
        <v>2.8</v>
      </c>
      <c r="J584" s="77"/>
      <c r="K584" s="79"/>
    </row>
    <row r="585" spans="2:11" x14ac:dyDescent="0.3">
      <c r="B585" s="86">
        <v>46148</v>
      </c>
      <c r="C585" s="76" t="s">
        <v>274</v>
      </c>
      <c r="D585" s="127">
        <v>12</v>
      </c>
      <c r="E585" s="77" t="s">
        <v>9</v>
      </c>
      <c r="F585" s="79">
        <v>3286</v>
      </c>
      <c r="G585" s="78"/>
      <c r="H585" s="78"/>
      <c r="I585" s="77">
        <v>4.9000000000000004</v>
      </c>
      <c r="J585" s="77"/>
      <c r="K585" s="79"/>
    </row>
    <row r="586" spans="2:11" x14ac:dyDescent="0.3">
      <c r="B586" s="86">
        <v>46148</v>
      </c>
      <c r="C586" s="76" t="s">
        <v>275</v>
      </c>
      <c r="D586" s="127">
        <v>10</v>
      </c>
      <c r="E586" s="77" t="s">
        <v>8</v>
      </c>
      <c r="F586" s="79">
        <v>8634</v>
      </c>
      <c r="G586" s="78"/>
      <c r="H586" s="78"/>
      <c r="I586" s="77">
        <v>3.1</v>
      </c>
      <c r="J586" s="77"/>
      <c r="K586" s="79"/>
    </row>
    <row r="587" spans="2:11" x14ac:dyDescent="0.3">
      <c r="B587" s="88">
        <v>46148</v>
      </c>
      <c r="C587" s="33" t="s">
        <v>275</v>
      </c>
      <c r="D587" s="128">
        <v>11</v>
      </c>
      <c r="E587" s="81" t="s">
        <v>10</v>
      </c>
      <c r="F587" s="83">
        <v>8600</v>
      </c>
      <c r="G587" s="82"/>
      <c r="H587" s="82"/>
      <c r="I587" s="81">
        <v>2.2999999999999998</v>
      </c>
      <c r="J587" s="81"/>
      <c r="K587" s="83"/>
    </row>
    <row r="588" spans="2:11" x14ac:dyDescent="0.3">
      <c r="B588" s="90">
        <v>46148</v>
      </c>
      <c r="C588" s="28" t="s">
        <v>276</v>
      </c>
      <c r="D588" s="136">
        <v>13</v>
      </c>
      <c r="E588" s="91" t="s">
        <v>11</v>
      </c>
      <c r="F588" s="92">
        <v>7165</v>
      </c>
      <c r="G588" s="93">
        <f>17058+6990</f>
        <v>24048</v>
      </c>
      <c r="H588" s="93">
        <f>+G588-SUM(F588:F591)</f>
        <v>187</v>
      </c>
      <c r="I588" s="91">
        <v>2.5</v>
      </c>
      <c r="J588" s="91"/>
      <c r="K588" s="92"/>
    </row>
    <row r="589" spans="2:11" x14ac:dyDescent="0.3">
      <c r="B589" s="94">
        <v>46149</v>
      </c>
      <c r="C589" s="37" t="s">
        <v>277</v>
      </c>
      <c r="D589" s="125">
        <v>10</v>
      </c>
      <c r="E589" s="95" t="s">
        <v>8</v>
      </c>
      <c r="F589" s="96">
        <v>8492</v>
      </c>
      <c r="G589" s="97"/>
      <c r="H589" s="97"/>
      <c r="I589" s="95">
        <v>3.1</v>
      </c>
      <c r="J589" s="95"/>
      <c r="K589" s="96"/>
    </row>
    <row r="590" spans="2:11" x14ac:dyDescent="0.3">
      <c r="B590" s="94">
        <v>46149</v>
      </c>
      <c r="C590" s="37" t="s">
        <v>277</v>
      </c>
      <c r="D590" s="125" t="s">
        <v>184</v>
      </c>
      <c r="E590" s="95" t="s">
        <v>182</v>
      </c>
      <c r="F590" s="96">
        <v>2011</v>
      </c>
      <c r="G590" s="97"/>
      <c r="H590" s="97"/>
      <c r="I590" s="95">
        <v>3.6</v>
      </c>
      <c r="J590" s="95"/>
      <c r="K590" s="96"/>
    </row>
    <row r="591" spans="2:11" x14ac:dyDescent="0.3">
      <c r="B591" s="98">
        <v>46149</v>
      </c>
      <c r="C591" s="30" t="s">
        <v>277</v>
      </c>
      <c r="D591" s="126" t="s">
        <v>183</v>
      </c>
      <c r="E591" s="99" t="s">
        <v>182</v>
      </c>
      <c r="F591" s="100">
        <v>6193</v>
      </c>
      <c r="G591" s="101"/>
      <c r="H591" s="101"/>
      <c r="I591" s="99">
        <v>2.8</v>
      </c>
      <c r="J591" s="99"/>
      <c r="K591" s="100"/>
    </row>
    <row r="592" spans="2:11" x14ac:dyDescent="0.3">
      <c r="B592" s="86">
        <v>46160</v>
      </c>
      <c r="C592" s="76" t="s">
        <v>278</v>
      </c>
      <c r="D592" s="127">
        <v>21</v>
      </c>
      <c r="E592" s="77" t="str">
        <f>+VLOOKUP(D592,'Código Tambos'!B:C,2,0)</f>
        <v>Brivio Eduardo (TBR)</v>
      </c>
      <c r="F592" s="79">
        <v>2085</v>
      </c>
      <c r="G592" s="78">
        <f>10758+16980+7246</f>
        <v>34984</v>
      </c>
      <c r="H592" s="78">
        <f>+G592-SUM(F592:F597)</f>
        <v>799</v>
      </c>
      <c r="I592" s="77">
        <v>2.1</v>
      </c>
      <c r="J592" s="77"/>
      <c r="K592" s="79"/>
    </row>
    <row r="593" spans="2:14" x14ac:dyDescent="0.3">
      <c r="B593" s="86">
        <v>46160</v>
      </c>
      <c r="C593" s="76" t="s">
        <v>278</v>
      </c>
      <c r="D593" s="127">
        <v>13</v>
      </c>
      <c r="E593" s="77" t="str">
        <f>+VLOOKUP(D593,'Código Tambos'!B:C,2,0)</f>
        <v>Estancia Aleluya</v>
      </c>
      <c r="F593" s="79">
        <v>8468</v>
      </c>
      <c r="G593" s="78"/>
      <c r="H593" s="78"/>
      <c r="I593" s="77">
        <v>3.9</v>
      </c>
      <c r="J593" s="77"/>
      <c r="K593" s="79"/>
    </row>
    <row r="594" spans="2:14" x14ac:dyDescent="0.3">
      <c r="B594" s="86">
        <v>46160</v>
      </c>
      <c r="C594" s="76" t="s">
        <v>279</v>
      </c>
      <c r="D594" s="127">
        <v>10</v>
      </c>
      <c r="E594" s="77" t="str">
        <f>+VLOOKUP(D594,'Código Tambos'!B:C,2,0)</f>
        <v>Huaca Hue</v>
      </c>
      <c r="F594" s="79">
        <v>8080</v>
      </c>
      <c r="G594" s="78"/>
      <c r="H594" s="78"/>
      <c r="I594" s="77">
        <v>3.9</v>
      </c>
      <c r="J594" s="77"/>
      <c r="K594" s="79"/>
    </row>
    <row r="595" spans="2:14" x14ac:dyDescent="0.3">
      <c r="B595" s="86">
        <v>46160</v>
      </c>
      <c r="C595" s="76" t="s">
        <v>279</v>
      </c>
      <c r="D595" s="127" t="s">
        <v>184</v>
      </c>
      <c r="E595" s="77" t="str">
        <f>+VLOOKUP(D595,'Código Tambos'!B:C,2,0)</f>
        <v>Larregain Hnos (TLR)</v>
      </c>
      <c r="F595" s="79">
        <v>1835</v>
      </c>
      <c r="G595" s="78"/>
      <c r="H595" s="78"/>
      <c r="I595" s="77">
        <v>4.8</v>
      </c>
      <c r="J595" s="77"/>
      <c r="K595" s="79"/>
    </row>
    <row r="596" spans="2:14" x14ac:dyDescent="0.3">
      <c r="B596" s="86">
        <v>46160</v>
      </c>
      <c r="C596" s="76" t="s">
        <v>279</v>
      </c>
      <c r="D596" s="127" t="s">
        <v>183</v>
      </c>
      <c r="E596" s="77" t="str">
        <f>+VLOOKUP(D596,'Código Tambos'!B:C,2,0)</f>
        <v>Larregain Hnos (TLR)</v>
      </c>
      <c r="F596" s="79">
        <v>6609</v>
      </c>
      <c r="G596" s="78"/>
      <c r="H596" s="78"/>
      <c r="I596" s="77">
        <v>5.0999999999999996</v>
      </c>
      <c r="J596" s="77"/>
      <c r="K596" s="79"/>
    </row>
    <row r="597" spans="2:14" x14ac:dyDescent="0.3">
      <c r="B597" s="86">
        <v>46160</v>
      </c>
      <c r="C597" s="76" t="s">
        <v>280</v>
      </c>
      <c r="D597" s="127">
        <v>13</v>
      </c>
      <c r="E597" s="77" t="str">
        <f>+VLOOKUP(D597,'Código Tambos'!B:C,2,0)</f>
        <v>Estancia Aleluya</v>
      </c>
      <c r="F597" s="79">
        <v>7108</v>
      </c>
      <c r="G597" s="78"/>
      <c r="H597" s="78"/>
      <c r="I597" s="77">
        <v>3.6</v>
      </c>
      <c r="J597" s="77"/>
      <c r="K597" s="79"/>
    </row>
    <row r="598" spans="2:14" x14ac:dyDescent="0.3">
      <c r="B598" s="90">
        <v>46161</v>
      </c>
      <c r="C598" s="28" t="s">
        <v>281</v>
      </c>
      <c r="D598" s="136">
        <v>23</v>
      </c>
      <c r="E598" s="91" t="str">
        <f>+VLOOKUP(D598,'Código Tambos'!B:C,2,0)</f>
        <v>La Victoria</v>
      </c>
      <c r="F598" s="92">
        <v>11581</v>
      </c>
      <c r="G598" s="93">
        <f>24011+16424+7074</f>
        <v>47509</v>
      </c>
      <c r="H598" s="93">
        <f>+G598-SUM(F598:F604)</f>
        <v>440</v>
      </c>
      <c r="I598" s="91">
        <v>3.4</v>
      </c>
      <c r="J598" s="91"/>
      <c r="K598" s="92"/>
    </row>
    <row r="599" spans="2:14" x14ac:dyDescent="0.3">
      <c r="B599" s="94">
        <v>46161</v>
      </c>
      <c r="C599" s="37" t="s">
        <v>281</v>
      </c>
      <c r="D599" s="125">
        <v>21</v>
      </c>
      <c r="E599" s="95" t="str">
        <f>+VLOOKUP(D599,'Código Tambos'!B:C,2,0)</f>
        <v>Brivio Eduardo (TBR)</v>
      </c>
      <c r="F599" s="96">
        <v>3802</v>
      </c>
      <c r="G599" s="97"/>
      <c r="H599" s="97"/>
      <c r="I599" s="95">
        <v>2.2999999999999998</v>
      </c>
      <c r="J599" s="95"/>
      <c r="K599" s="96"/>
      <c r="M599">
        <v>47274</v>
      </c>
      <c r="N599">
        <f>16266+23859+7149</f>
        <v>47274</v>
      </c>
    </row>
    <row r="600" spans="2:14" x14ac:dyDescent="0.3">
      <c r="B600" s="94">
        <v>46161</v>
      </c>
      <c r="C600" s="37" t="s">
        <v>281</v>
      </c>
      <c r="D600" s="125">
        <v>13</v>
      </c>
      <c r="E600" s="95" t="str">
        <f>+VLOOKUP(D600,'Código Tambos'!B:C,2,0)</f>
        <v>Estancia Aleluya</v>
      </c>
      <c r="F600" s="96">
        <v>8476</v>
      </c>
      <c r="G600" s="97"/>
      <c r="H600" s="97"/>
      <c r="I600" s="95">
        <v>2.4</v>
      </c>
      <c r="J600" s="95"/>
      <c r="K600" s="96"/>
    </row>
    <row r="601" spans="2:14" x14ac:dyDescent="0.3">
      <c r="B601" s="94">
        <v>46161</v>
      </c>
      <c r="C601" s="37" t="s">
        <v>283</v>
      </c>
      <c r="D601" s="125">
        <v>10</v>
      </c>
      <c r="E601" s="95" t="str">
        <f>+VLOOKUP(D601,'Código Tambos'!B:C,2,0)</f>
        <v>Huaca Hue</v>
      </c>
      <c r="F601" s="96">
        <v>7860</v>
      </c>
      <c r="G601" s="97"/>
      <c r="H601" s="97"/>
      <c r="I601" s="95">
        <v>3.8</v>
      </c>
      <c r="J601" s="95"/>
      <c r="K601" s="96"/>
    </row>
    <row r="602" spans="2:14" x14ac:dyDescent="0.3">
      <c r="B602" s="94">
        <v>46161</v>
      </c>
      <c r="C602" s="37" t="s">
        <v>283</v>
      </c>
      <c r="D602" s="125" t="s">
        <v>184</v>
      </c>
      <c r="E602" s="95" t="str">
        <f>+VLOOKUP(D602,'Código Tambos'!B:C,2,0)</f>
        <v>Larregain Hnos (TLR)</v>
      </c>
      <c r="F602" s="96">
        <v>1850</v>
      </c>
      <c r="G602" s="97"/>
      <c r="H602" s="97"/>
      <c r="I602" s="95">
        <v>4.5999999999999996</v>
      </c>
      <c r="J602" s="95"/>
      <c r="K602" s="96"/>
    </row>
    <row r="603" spans="2:14" x14ac:dyDescent="0.3">
      <c r="B603" s="94">
        <v>46161</v>
      </c>
      <c r="C603" s="37" t="s">
        <v>283</v>
      </c>
      <c r="D603" s="125" t="s">
        <v>183</v>
      </c>
      <c r="E603" s="95" t="str">
        <f>+VLOOKUP(D603,'Código Tambos'!B:C,2,0)</f>
        <v>Larregain Hnos (TLR)</v>
      </c>
      <c r="F603" s="96">
        <v>6556</v>
      </c>
      <c r="G603" s="97"/>
      <c r="H603" s="97"/>
      <c r="I603" s="95">
        <v>4.8</v>
      </c>
      <c r="J603" s="95"/>
      <c r="K603" s="96"/>
    </row>
    <row r="604" spans="2:14" x14ac:dyDescent="0.3">
      <c r="B604" s="98">
        <v>46160</v>
      </c>
      <c r="C604" s="30" t="s">
        <v>284</v>
      </c>
      <c r="D604" s="126">
        <v>13</v>
      </c>
      <c r="E604" s="99" t="str">
        <f>+VLOOKUP(D604,'Código Tambos'!B:C,2,0)</f>
        <v>Estancia Aleluya</v>
      </c>
      <c r="F604" s="100">
        <v>6944</v>
      </c>
      <c r="G604" s="101"/>
      <c r="H604" s="101"/>
      <c r="I604" s="99">
        <v>3.9</v>
      </c>
      <c r="J604" s="99"/>
      <c r="K604" s="100"/>
    </row>
    <row r="605" spans="2:14" x14ac:dyDescent="0.3">
      <c r="B605" s="86">
        <v>46162</v>
      </c>
      <c r="C605" s="76" t="s">
        <v>285</v>
      </c>
      <c r="D605" s="127">
        <v>23</v>
      </c>
      <c r="E605" s="77" t="str">
        <f>+VLOOKUP(D605,'Código Tambos'!B:C,2,0)</f>
        <v>La Victoria</v>
      </c>
      <c r="F605" s="79">
        <v>10935</v>
      </c>
      <c r="G605" s="78">
        <f>23636+16600+7050</f>
        <v>47286</v>
      </c>
      <c r="H605" s="78">
        <f>+G605-SUM(F605:F611)</f>
        <v>788</v>
      </c>
      <c r="I605" s="77">
        <v>3.6</v>
      </c>
      <c r="J605" s="77"/>
      <c r="K605" s="79"/>
      <c r="M605">
        <v>46400</v>
      </c>
      <c r="N605">
        <f>16147+23202+7051</f>
        <v>46400</v>
      </c>
    </row>
    <row r="606" spans="2:14" x14ac:dyDescent="0.3">
      <c r="B606" s="86">
        <v>46162</v>
      </c>
      <c r="C606" s="76" t="s">
        <v>285</v>
      </c>
      <c r="D606" s="127">
        <v>21</v>
      </c>
      <c r="E606" s="77" t="str">
        <f>+VLOOKUP(D606,'Código Tambos'!B:C,2,0)</f>
        <v>Brivio Eduardo (TBR)</v>
      </c>
      <c r="F606" s="79">
        <v>3934</v>
      </c>
      <c r="G606" s="78"/>
      <c r="H606" s="78"/>
      <c r="I606" s="77">
        <v>2.2000000000000002</v>
      </c>
      <c r="J606" s="77"/>
      <c r="K606" s="79"/>
    </row>
    <row r="607" spans="2:14" x14ac:dyDescent="0.3">
      <c r="B607" s="86">
        <v>46162</v>
      </c>
      <c r="C607" s="76" t="s">
        <v>285</v>
      </c>
      <c r="D607" s="127">
        <v>13</v>
      </c>
      <c r="E607" s="77" t="str">
        <f>+VLOOKUP(D607,'Código Tambos'!B:C,2,0)</f>
        <v>Estancia Aleluya</v>
      </c>
      <c r="F607" s="79">
        <v>8333</v>
      </c>
      <c r="G607" s="78"/>
      <c r="H607" s="78"/>
      <c r="I607" s="77">
        <v>2.5</v>
      </c>
      <c r="J607" s="77"/>
      <c r="K607" s="79"/>
    </row>
    <row r="608" spans="2:14" x14ac:dyDescent="0.3">
      <c r="B608" s="86">
        <v>46162</v>
      </c>
      <c r="C608" s="76" t="s">
        <v>286</v>
      </c>
      <c r="D608" s="127">
        <v>10</v>
      </c>
      <c r="E608" s="77" t="str">
        <f>+VLOOKUP(D608,'Código Tambos'!B:C,2,0)</f>
        <v>Huaca Hue</v>
      </c>
      <c r="F608" s="79">
        <v>7889</v>
      </c>
      <c r="G608" s="78"/>
      <c r="H608" s="78"/>
      <c r="I608" s="77">
        <v>4.5</v>
      </c>
      <c r="J608" s="77"/>
      <c r="K608" s="79"/>
    </row>
    <row r="609" spans="2:14" x14ac:dyDescent="0.3">
      <c r="B609" s="86">
        <v>46162</v>
      </c>
      <c r="C609" s="76" t="s">
        <v>286</v>
      </c>
      <c r="D609" s="127" t="s">
        <v>183</v>
      </c>
      <c r="E609" s="77" t="str">
        <f>+VLOOKUP(D609,'Código Tambos'!B:C,2,0)</f>
        <v>Larregain Hnos (TLR)</v>
      </c>
      <c r="F609" s="79">
        <v>1838</v>
      </c>
      <c r="G609" s="78"/>
      <c r="H609" s="78"/>
      <c r="I609" s="77">
        <v>4.5999999999999996</v>
      </c>
      <c r="J609" s="77"/>
      <c r="K609" s="79"/>
    </row>
    <row r="610" spans="2:14" x14ac:dyDescent="0.3">
      <c r="B610" s="86">
        <v>46162</v>
      </c>
      <c r="C610" s="76" t="s">
        <v>286</v>
      </c>
      <c r="D610" s="127" t="s">
        <v>184</v>
      </c>
      <c r="E610" s="77" t="str">
        <f>+VLOOKUP(D610,'Código Tambos'!B:C,2,0)</f>
        <v>Larregain Hnos (TLR)</v>
      </c>
      <c r="F610" s="79">
        <v>6420</v>
      </c>
      <c r="G610" s="78"/>
      <c r="H610" s="78"/>
      <c r="I610" s="77">
        <v>3.6</v>
      </c>
      <c r="J610" s="77"/>
      <c r="K610" s="79"/>
    </row>
    <row r="611" spans="2:14" x14ac:dyDescent="0.3">
      <c r="B611" s="88">
        <v>46161</v>
      </c>
      <c r="C611" s="33" t="s">
        <v>287</v>
      </c>
      <c r="D611" s="128">
        <v>13</v>
      </c>
      <c r="E611" s="81" t="str">
        <f>+VLOOKUP(D611,'Código Tambos'!B:C,2,0)</f>
        <v>Estancia Aleluya</v>
      </c>
      <c r="F611" s="83">
        <v>7149</v>
      </c>
      <c r="G611" s="82"/>
      <c r="H611" s="82"/>
      <c r="I611" s="81">
        <v>4.8</v>
      </c>
      <c r="J611" s="81"/>
      <c r="K611" s="83"/>
    </row>
    <row r="612" spans="2:14" x14ac:dyDescent="0.3">
      <c r="B612" s="94">
        <v>46163</v>
      </c>
      <c r="C612" s="37" t="s">
        <v>288</v>
      </c>
      <c r="D612" s="125">
        <v>23</v>
      </c>
      <c r="E612" s="95" t="str">
        <f>+VLOOKUP(D612,'Código Tambos'!B:C,2,0)</f>
        <v>La Victoria</v>
      </c>
      <c r="F612" s="96">
        <v>11206</v>
      </c>
      <c r="G612" s="97">
        <f>23776+16466+7262</f>
        <v>47504</v>
      </c>
      <c r="H612" s="97">
        <f>+G612-SUM(F612:F618)</f>
        <v>706</v>
      </c>
      <c r="I612" s="95">
        <v>4.4000000000000004</v>
      </c>
      <c r="J612" s="95"/>
      <c r="K612" s="96"/>
      <c r="M612">
        <v>39747</v>
      </c>
      <c r="N612">
        <f>16565+23182</f>
        <v>39747</v>
      </c>
    </row>
    <row r="613" spans="2:14" x14ac:dyDescent="0.3">
      <c r="B613" s="94">
        <v>46163</v>
      </c>
      <c r="C613" s="37" t="s">
        <v>288</v>
      </c>
      <c r="D613" s="125">
        <v>21</v>
      </c>
      <c r="E613" s="95" t="str">
        <f>+VLOOKUP(D613,'Código Tambos'!B:C,2,0)</f>
        <v>Brivio Eduardo (TBR)</v>
      </c>
      <c r="F613" s="96">
        <v>3674</v>
      </c>
      <c r="G613" s="97"/>
      <c r="H613" s="97"/>
      <c r="I613" s="95">
        <v>2.1</v>
      </c>
      <c r="J613" s="95"/>
      <c r="K613" s="96"/>
    </row>
    <row r="614" spans="2:14" x14ac:dyDescent="0.3">
      <c r="B614" s="94">
        <v>46163</v>
      </c>
      <c r="C614" s="37" t="s">
        <v>288</v>
      </c>
      <c r="D614" s="125">
        <v>13</v>
      </c>
      <c r="E614" s="95" t="str">
        <f>+VLOOKUP(D614,'Código Tambos'!B:C,2,0)</f>
        <v>Estancia Aleluya</v>
      </c>
      <c r="F614" s="96">
        <v>8302</v>
      </c>
      <c r="G614" s="97"/>
      <c r="H614" s="97"/>
      <c r="I614" s="95">
        <v>3.2</v>
      </c>
      <c r="J614" s="95"/>
      <c r="K614" s="96"/>
    </row>
    <row r="615" spans="2:14" x14ac:dyDescent="0.3">
      <c r="B615" s="94">
        <v>46163</v>
      </c>
      <c r="C615" s="37" t="s">
        <v>289</v>
      </c>
      <c r="D615" s="125">
        <v>10</v>
      </c>
      <c r="E615" s="95" t="str">
        <f>+VLOOKUP(D615,'Código Tambos'!B:C,2,0)</f>
        <v>Huaca Hue</v>
      </c>
      <c r="F615" s="96">
        <v>8224</v>
      </c>
      <c r="G615" s="97"/>
      <c r="H615" s="97"/>
      <c r="I615" s="95">
        <v>4.0999999999999996</v>
      </c>
      <c r="J615" s="95"/>
      <c r="K615" s="96"/>
    </row>
    <row r="616" spans="2:14" x14ac:dyDescent="0.3">
      <c r="B616" s="94">
        <v>46163</v>
      </c>
      <c r="C616" s="37" t="s">
        <v>289</v>
      </c>
      <c r="D616" s="125" t="s">
        <v>184</v>
      </c>
      <c r="E616" s="95" t="str">
        <f>+VLOOKUP(D616,'Código Tambos'!B:C,2,0)</f>
        <v>Larregain Hnos (TLR)</v>
      </c>
      <c r="F616" s="96">
        <v>1808</v>
      </c>
      <c r="G616" s="97"/>
      <c r="H616" s="97"/>
      <c r="I616" s="95">
        <v>3.9</v>
      </c>
      <c r="J616" s="95"/>
      <c r="K616" s="96"/>
    </row>
    <row r="617" spans="2:14" x14ac:dyDescent="0.3">
      <c r="B617" s="94">
        <v>46163</v>
      </c>
      <c r="C617" s="37" t="s">
        <v>289</v>
      </c>
      <c r="D617" s="125" t="s">
        <v>183</v>
      </c>
      <c r="E617" s="95" t="str">
        <f>+VLOOKUP(D617,'Código Tambos'!B:C,2,0)</f>
        <v>Larregain Hnos (TLR)</v>
      </c>
      <c r="F617" s="96">
        <v>6533</v>
      </c>
      <c r="G617" s="97"/>
      <c r="H617" s="97"/>
      <c r="I617" s="95">
        <v>4.5999999999999996</v>
      </c>
      <c r="J617" s="95"/>
      <c r="K617" s="96"/>
    </row>
    <row r="618" spans="2:14" x14ac:dyDescent="0.3">
      <c r="B618" s="98">
        <v>46162</v>
      </c>
      <c r="C618" s="30" t="s">
        <v>290</v>
      </c>
      <c r="D618" s="126">
        <v>13</v>
      </c>
      <c r="E618" s="99" t="str">
        <f>+VLOOKUP(D618,'Código Tambos'!B:C,2,0)</f>
        <v>Estancia Aleluya</v>
      </c>
      <c r="F618" s="100">
        <v>7051</v>
      </c>
      <c r="G618" s="101"/>
      <c r="H618" s="101"/>
      <c r="I618" s="99">
        <v>3.6</v>
      </c>
      <c r="J618" s="99"/>
      <c r="K618" s="100"/>
    </row>
    <row r="619" spans="2:14" x14ac:dyDescent="0.3">
      <c r="B619" s="86">
        <v>46166</v>
      </c>
      <c r="C619" s="76" t="s">
        <v>291</v>
      </c>
      <c r="D619" s="127">
        <v>10</v>
      </c>
      <c r="E619" s="77" t="str">
        <f>+VLOOKUP(D619,'Código Tambos'!B:C,2,0)</f>
        <v>Huaca Hue</v>
      </c>
      <c r="F619" s="79">
        <v>7485</v>
      </c>
      <c r="G619" s="78">
        <f>23668+23502</f>
        <v>47170</v>
      </c>
      <c r="H619" s="78">
        <f>+G619-SUM(F619:F625)</f>
        <v>841</v>
      </c>
      <c r="I619" s="77">
        <v>4.5</v>
      </c>
      <c r="J619" s="77"/>
      <c r="K619" s="79"/>
      <c r="M619">
        <v>46197</v>
      </c>
      <c r="N619">
        <f>6903+16019+23275</f>
        <v>46197</v>
      </c>
    </row>
    <row r="620" spans="2:14" x14ac:dyDescent="0.3">
      <c r="B620" s="86">
        <v>46166</v>
      </c>
      <c r="C620" s="76" t="s">
        <v>291</v>
      </c>
      <c r="D620" s="127" t="s">
        <v>184</v>
      </c>
      <c r="E620" s="77" t="str">
        <f>+VLOOKUP(D620,'Código Tambos'!B:C,2,0)</f>
        <v>Larregain Hnos (TLR)</v>
      </c>
      <c r="F620" s="79">
        <v>1815</v>
      </c>
      <c r="G620" s="78"/>
      <c r="H620" s="78"/>
      <c r="I620" s="77">
        <v>4</v>
      </c>
      <c r="J620" s="77"/>
      <c r="K620" s="79"/>
    </row>
    <row r="621" spans="2:14" x14ac:dyDescent="0.3">
      <c r="B621" s="86">
        <v>46166</v>
      </c>
      <c r="C621" s="76" t="s">
        <v>291</v>
      </c>
      <c r="D621" s="127" t="s">
        <v>183</v>
      </c>
      <c r="E621" s="77" t="str">
        <f>+VLOOKUP(D621,'Código Tambos'!B:C,2,0)</f>
        <v>Larregain Hnos (TLR)</v>
      </c>
      <c r="F621" s="79">
        <v>6719</v>
      </c>
      <c r="G621" s="78"/>
      <c r="H621" s="78"/>
      <c r="I621" s="77">
        <v>4.4000000000000004</v>
      </c>
      <c r="J621" s="77"/>
      <c r="K621" s="79"/>
    </row>
    <row r="622" spans="2:14" x14ac:dyDescent="0.3">
      <c r="B622" s="86">
        <v>46166</v>
      </c>
      <c r="C622" s="76" t="s">
        <v>292</v>
      </c>
      <c r="D622" s="127">
        <v>23</v>
      </c>
      <c r="E622" s="77" t="str">
        <f>+VLOOKUP(D622,'Código Tambos'!B:C,2,0)</f>
        <v>La Victoria</v>
      </c>
      <c r="F622" s="79">
        <v>11055</v>
      </c>
      <c r="G622" s="78"/>
      <c r="H622" s="78"/>
      <c r="I622" s="77">
        <v>3.6</v>
      </c>
      <c r="J622" s="77"/>
      <c r="K622" s="79"/>
    </row>
    <row r="623" spans="2:14" x14ac:dyDescent="0.3">
      <c r="B623" s="86">
        <v>46166</v>
      </c>
      <c r="C623" s="76" t="s">
        <v>292</v>
      </c>
      <c r="D623" s="127">
        <v>21</v>
      </c>
      <c r="E623" s="77" t="str">
        <f>+VLOOKUP(D623,'Código Tambos'!B:C,2,0)</f>
        <v>Brivio Eduardo (TBR)</v>
      </c>
      <c r="F623" s="79">
        <v>3828</v>
      </c>
      <c r="G623" s="78"/>
      <c r="H623" s="78"/>
      <c r="I623" s="77">
        <v>2.2999999999999998</v>
      </c>
      <c r="J623" s="77"/>
      <c r="K623" s="79"/>
    </row>
    <row r="624" spans="2:14" x14ac:dyDescent="0.3">
      <c r="B624" s="86">
        <v>46166</v>
      </c>
      <c r="C624" s="76" t="s">
        <v>292</v>
      </c>
      <c r="D624" s="127">
        <v>13</v>
      </c>
      <c r="E624" s="77" t="str">
        <f>+VLOOKUP(D624,'Código Tambos'!B:C,2,0)</f>
        <v>Estancia Aleluya</v>
      </c>
      <c r="F624" s="79">
        <v>8392</v>
      </c>
      <c r="G624" s="78"/>
      <c r="H624" s="78"/>
      <c r="I624" s="77">
        <v>3.6</v>
      </c>
      <c r="J624" s="77"/>
      <c r="K624" s="79"/>
    </row>
    <row r="625" spans="2:14" x14ac:dyDescent="0.3">
      <c r="B625" s="88">
        <v>46165</v>
      </c>
      <c r="C625" s="33" t="s">
        <v>293</v>
      </c>
      <c r="D625" s="128">
        <v>13</v>
      </c>
      <c r="E625" s="81" t="str">
        <f>+VLOOKUP(D625,'Código Tambos'!B:C,2,0)</f>
        <v>Estancia Aleluya</v>
      </c>
      <c r="F625" s="83">
        <v>7035</v>
      </c>
      <c r="G625" s="82"/>
      <c r="H625" s="82"/>
      <c r="I625" s="81">
        <v>4.7</v>
      </c>
      <c r="J625" s="81"/>
      <c r="K625" s="83"/>
    </row>
    <row r="626" spans="2:14" x14ac:dyDescent="0.3">
      <c r="B626" s="94">
        <v>46167</v>
      </c>
      <c r="C626" s="37" t="s">
        <v>294</v>
      </c>
      <c r="D626" s="125">
        <v>23</v>
      </c>
      <c r="E626" s="95" t="str">
        <f>+VLOOKUP(D626,'Código Tambos'!B:C,2,0)</f>
        <v>La Victoria</v>
      </c>
      <c r="F626" s="96">
        <v>11298</v>
      </c>
      <c r="G626" s="97">
        <f>23528+19784+3762</f>
        <v>47074</v>
      </c>
      <c r="H626" s="97">
        <f>+G626-SUM(F626:F632)</f>
        <v>168</v>
      </c>
      <c r="I626" s="95">
        <v>3.7</v>
      </c>
      <c r="J626" s="95"/>
      <c r="K626" s="96"/>
      <c r="M626">
        <v>47021</v>
      </c>
      <c r="N626">
        <f>23620+16383+7018</f>
        <v>47021</v>
      </c>
    </row>
    <row r="627" spans="2:14" x14ac:dyDescent="0.3">
      <c r="B627" s="94">
        <v>46167</v>
      </c>
      <c r="C627" s="37" t="s">
        <v>294</v>
      </c>
      <c r="D627" s="125">
        <v>21</v>
      </c>
      <c r="E627" s="95" t="str">
        <f>+VLOOKUP(D627,'Código Tambos'!B:C,2,0)</f>
        <v>Brivio Eduardo (TBR)</v>
      </c>
      <c r="F627" s="96">
        <v>3890</v>
      </c>
      <c r="G627" s="97"/>
      <c r="H627" s="97"/>
      <c r="I627" s="95">
        <v>2.2999999999999998</v>
      </c>
      <c r="J627" s="95"/>
      <c r="K627" s="96"/>
    </row>
    <row r="628" spans="2:14" x14ac:dyDescent="0.3">
      <c r="B628" s="94">
        <v>46167</v>
      </c>
      <c r="C628" s="37" t="s">
        <v>294</v>
      </c>
      <c r="D628" s="125">
        <v>13</v>
      </c>
      <c r="E628" s="95" t="str">
        <f>+VLOOKUP(D628,'Código Tambos'!B:C,2,0)</f>
        <v>Estancia Aleluya</v>
      </c>
      <c r="F628" s="96">
        <v>8432</v>
      </c>
      <c r="G628" s="97"/>
      <c r="H628" s="97"/>
      <c r="I628" s="95">
        <v>3.5</v>
      </c>
      <c r="J628" s="95"/>
      <c r="K628" s="96"/>
    </row>
    <row r="629" spans="2:14" x14ac:dyDescent="0.3">
      <c r="B629" s="94">
        <v>46167</v>
      </c>
      <c r="C629" s="37" t="s">
        <v>295</v>
      </c>
      <c r="D629" s="125">
        <v>10</v>
      </c>
      <c r="E629" s="95" t="str">
        <f>+VLOOKUP(D629,'Código Tambos'!B:C,2,0)</f>
        <v>Huaca Hue</v>
      </c>
      <c r="F629" s="96">
        <v>7726</v>
      </c>
      <c r="G629" s="97"/>
      <c r="H629" s="97"/>
      <c r="I629" s="95">
        <v>3.6</v>
      </c>
      <c r="J629" s="95"/>
      <c r="K629" s="96"/>
    </row>
    <row r="630" spans="2:14" x14ac:dyDescent="0.3">
      <c r="B630" s="94">
        <v>46167</v>
      </c>
      <c r="C630" s="37" t="s">
        <v>295</v>
      </c>
      <c r="D630" s="125" t="s">
        <v>183</v>
      </c>
      <c r="E630" s="95" t="str">
        <f>+VLOOKUP(D630,'Código Tambos'!B:C,2,0)</f>
        <v>Larregain Hnos (TLR)</v>
      </c>
      <c r="F630" s="96">
        <v>6865</v>
      </c>
      <c r="G630" s="97"/>
      <c r="H630" s="97"/>
      <c r="I630" s="95">
        <v>3.8</v>
      </c>
      <c r="J630" s="95"/>
      <c r="K630" s="96"/>
    </row>
    <row r="631" spans="2:14" x14ac:dyDescent="0.3">
      <c r="B631" s="94">
        <v>46167</v>
      </c>
      <c r="C631" s="37" t="s">
        <v>295</v>
      </c>
      <c r="D631" s="125" t="s">
        <v>184</v>
      </c>
      <c r="E631" s="95" t="str">
        <f>+VLOOKUP(D631,'Código Tambos'!B:C,2,0)</f>
        <v>Larregain Hnos (TLR)</v>
      </c>
      <c r="F631" s="96">
        <v>1792</v>
      </c>
      <c r="G631" s="97"/>
      <c r="H631" s="97"/>
      <c r="I631" s="95">
        <v>4.0999999999999996</v>
      </c>
      <c r="J631" s="95"/>
      <c r="K631" s="96"/>
    </row>
    <row r="632" spans="2:14" x14ac:dyDescent="0.3">
      <c r="B632" s="98">
        <v>46166</v>
      </c>
      <c r="C632" s="30" t="s">
        <v>295</v>
      </c>
      <c r="D632" s="126">
        <v>13</v>
      </c>
      <c r="E632" s="99" t="str">
        <f>+VLOOKUP(D632,'Código Tambos'!B:C,2,0)</f>
        <v>Estancia Aleluya</v>
      </c>
      <c r="F632" s="100">
        <v>6903</v>
      </c>
      <c r="G632" s="101"/>
      <c r="H632" s="101"/>
      <c r="I632" s="99">
        <v>2.9</v>
      </c>
      <c r="J632" s="99"/>
      <c r="K632" s="100"/>
    </row>
    <row r="633" spans="2:14" x14ac:dyDescent="0.3">
      <c r="B633" s="86">
        <v>46167</v>
      </c>
      <c r="C633" s="76" t="s">
        <v>296</v>
      </c>
      <c r="D633" s="127">
        <v>13</v>
      </c>
      <c r="E633" s="77" t="str">
        <f>+VLOOKUP(D633,'Código Tambos'!B:C,2,0)</f>
        <v>Estancia Aleluya</v>
      </c>
      <c r="F633" s="79">
        <v>7018</v>
      </c>
      <c r="G633" s="78">
        <f>7035+16884+23386</f>
        <v>47305</v>
      </c>
      <c r="H633" s="78">
        <f>+G633-SUM(F633:F639)</f>
        <v>517</v>
      </c>
      <c r="I633" s="77">
        <v>4.0999999999999996</v>
      </c>
      <c r="J633" s="77"/>
      <c r="K633" s="79"/>
    </row>
    <row r="634" spans="2:14" x14ac:dyDescent="0.3">
      <c r="B634" s="86">
        <v>46168</v>
      </c>
      <c r="C634" s="76" t="s">
        <v>297</v>
      </c>
      <c r="D634" s="127">
        <v>10</v>
      </c>
      <c r="E634" s="77" t="str">
        <f>+VLOOKUP(D634,'Código Tambos'!B:C,2,0)</f>
        <v>Huaca Hue</v>
      </c>
      <c r="F634" s="79">
        <v>7918</v>
      </c>
      <c r="G634" s="78"/>
      <c r="H634" s="78"/>
      <c r="I634" s="77">
        <v>3.8</v>
      </c>
      <c r="J634" s="77"/>
      <c r="K634" s="79"/>
    </row>
    <row r="635" spans="2:14" x14ac:dyDescent="0.3">
      <c r="B635" s="86">
        <v>46168</v>
      </c>
      <c r="C635" s="76" t="s">
        <v>297</v>
      </c>
      <c r="D635" s="127" t="s">
        <v>183</v>
      </c>
      <c r="E635" s="77" t="str">
        <f>+VLOOKUP(D635,'Código Tambos'!B:C,2,0)</f>
        <v>Larregain Hnos (TLR)</v>
      </c>
      <c r="F635" s="79">
        <v>6728</v>
      </c>
      <c r="G635" s="78"/>
      <c r="H635" s="78"/>
      <c r="I635" s="77">
        <v>3.3</v>
      </c>
      <c r="J635" s="77"/>
      <c r="K635" s="79"/>
    </row>
    <row r="636" spans="2:14" x14ac:dyDescent="0.3">
      <c r="B636" s="86">
        <v>46168</v>
      </c>
      <c r="C636" s="76" t="s">
        <v>297</v>
      </c>
      <c r="D636" s="127" t="s">
        <v>184</v>
      </c>
      <c r="E636" s="77" t="str">
        <f>+VLOOKUP(D636,'Código Tambos'!B:C,2,0)</f>
        <v>Larregain Hnos (TLR)</v>
      </c>
      <c r="F636" s="79">
        <v>1773</v>
      </c>
      <c r="G636" s="78"/>
      <c r="H636" s="78"/>
      <c r="I636" s="77">
        <v>4.4000000000000004</v>
      </c>
      <c r="J636" s="77"/>
      <c r="K636" s="79"/>
    </row>
    <row r="637" spans="2:14" x14ac:dyDescent="0.3">
      <c r="B637" s="86">
        <v>46168</v>
      </c>
      <c r="C637" s="76" t="s">
        <v>298</v>
      </c>
      <c r="D637" s="127">
        <v>23</v>
      </c>
      <c r="E637" s="77" t="str">
        <f>+VLOOKUP(D637,'Código Tambos'!B:C,2,0)</f>
        <v>La Victoria</v>
      </c>
      <c r="F637" s="79">
        <v>11278</v>
      </c>
      <c r="G637" s="78"/>
      <c r="H637" s="78"/>
      <c r="I637" s="77">
        <v>3.4</v>
      </c>
      <c r="J637" s="77"/>
      <c r="K637" s="79"/>
    </row>
    <row r="638" spans="2:14" x14ac:dyDescent="0.3">
      <c r="B638" s="86">
        <v>46168</v>
      </c>
      <c r="C638" s="76" t="s">
        <v>298</v>
      </c>
      <c r="D638" s="127">
        <v>21</v>
      </c>
      <c r="E638" s="77" t="str">
        <f>+VLOOKUP(D638,'Código Tambos'!B:C,2,0)</f>
        <v>Brivio Eduardo (TBR)</v>
      </c>
      <c r="F638" s="79">
        <v>3891</v>
      </c>
      <c r="G638" s="78"/>
      <c r="H638" s="78"/>
      <c r="I638" s="77">
        <v>2.5</v>
      </c>
      <c r="J638" s="77"/>
      <c r="K638" s="79"/>
    </row>
    <row r="639" spans="2:14" x14ac:dyDescent="0.3">
      <c r="B639" s="88">
        <v>46168</v>
      </c>
      <c r="C639" s="33" t="s">
        <v>298</v>
      </c>
      <c r="D639" s="128">
        <v>13</v>
      </c>
      <c r="E639" s="81" t="str">
        <f>+VLOOKUP(D639,'Código Tambos'!B:C,2,0)</f>
        <v>Estancia Aleluya</v>
      </c>
      <c r="F639" s="83">
        <v>8182</v>
      </c>
      <c r="G639" s="82"/>
      <c r="H639" s="82"/>
      <c r="I639" s="81">
        <v>2.2999999999999998</v>
      </c>
      <c r="J639" s="81"/>
      <c r="K639" s="83"/>
    </row>
    <row r="640" spans="2:14" x14ac:dyDescent="0.3">
      <c r="B640" s="103">
        <v>46168</v>
      </c>
      <c r="C640" s="24" t="s">
        <v>299</v>
      </c>
      <c r="D640" s="129">
        <v>13</v>
      </c>
      <c r="E640" s="23" t="str">
        <f>+VLOOKUP(D640,'Código Tambos'!B:C,2,0)</f>
        <v>Estancia Aleluya</v>
      </c>
      <c r="F640" s="104">
        <v>6960</v>
      </c>
      <c r="G640" s="105">
        <v>7096</v>
      </c>
      <c r="H640" s="105">
        <f>+G640-F640</f>
        <v>136</v>
      </c>
      <c r="I640" s="23">
        <v>3.9</v>
      </c>
      <c r="J640" s="23"/>
      <c r="K640" s="104"/>
    </row>
    <row r="641" spans="2:11" x14ac:dyDescent="0.3">
      <c r="B641" s="94">
        <v>46169</v>
      </c>
      <c r="C641" s="37" t="s">
        <v>300</v>
      </c>
      <c r="D641" s="125">
        <v>10</v>
      </c>
      <c r="E641" s="95" t="str">
        <f>+VLOOKUP(D641,'Código Tambos'!B:C,2,0)</f>
        <v>Huaca Hue</v>
      </c>
      <c r="F641" s="96">
        <v>7947</v>
      </c>
      <c r="G641" s="97">
        <v>16156</v>
      </c>
      <c r="H641" s="97">
        <f>+G641-SUM(F641:F644)</f>
        <v>-6814</v>
      </c>
      <c r="I641" s="95">
        <v>3.6</v>
      </c>
      <c r="J641" s="95"/>
      <c r="K641" s="96"/>
    </row>
    <row r="642" spans="2:11" x14ac:dyDescent="0.3">
      <c r="B642" s="94">
        <v>46169</v>
      </c>
      <c r="C642" s="37" t="s">
        <v>300</v>
      </c>
      <c r="D642" s="125" t="s">
        <v>183</v>
      </c>
      <c r="E642" s="95" t="str">
        <f>+VLOOKUP(D642,'Código Tambos'!B:C,2,0)</f>
        <v>Larregain Hnos (TLR)</v>
      </c>
      <c r="F642" s="96">
        <v>6288</v>
      </c>
      <c r="G642" s="97"/>
      <c r="H642" s="97"/>
      <c r="I642" s="95">
        <v>3.7</v>
      </c>
      <c r="J642" s="95"/>
      <c r="K642" s="96"/>
    </row>
    <row r="643" spans="2:11" x14ac:dyDescent="0.3">
      <c r="B643" s="94">
        <v>46169</v>
      </c>
      <c r="C643" s="37" t="s">
        <v>300</v>
      </c>
      <c r="D643" s="125" t="s">
        <v>184</v>
      </c>
      <c r="E643" s="95" t="str">
        <f>+VLOOKUP(D643,'Código Tambos'!B:C,2,0)</f>
        <v>Larregain Hnos (TLR)</v>
      </c>
      <c r="F643" s="96">
        <v>1758</v>
      </c>
      <c r="G643" s="97"/>
      <c r="H643" s="97"/>
      <c r="I643" s="95">
        <v>4.5999999999999996</v>
      </c>
      <c r="J643" s="95"/>
      <c r="K643" s="96"/>
    </row>
    <row r="644" spans="2:11" x14ac:dyDescent="0.3">
      <c r="B644" s="94">
        <v>46169</v>
      </c>
      <c r="C644" s="37" t="s">
        <v>199</v>
      </c>
      <c r="D644" s="125" t="s">
        <v>221</v>
      </c>
      <c r="E644" s="95" t="s">
        <v>11</v>
      </c>
      <c r="F644" s="96">
        <v>6977</v>
      </c>
      <c r="G644" s="97"/>
      <c r="H644" s="97"/>
      <c r="I644" s="95">
        <v>4.5999999999999996</v>
      </c>
      <c r="J644" s="95"/>
      <c r="K644" s="96"/>
    </row>
    <row r="645" spans="2:11" x14ac:dyDescent="0.3">
      <c r="B645" s="90">
        <v>46169</v>
      </c>
      <c r="C645" s="28" t="s">
        <v>301</v>
      </c>
      <c r="D645" s="136">
        <v>23</v>
      </c>
      <c r="E645" s="91" t="str">
        <f>+VLOOKUP(D645,'Código Tambos'!B:C,2,0)</f>
        <v>La Victoria</v>
      </c>
      <c r="F645" s="92">
        <v>11230</v>
      </c>
      <c r="G645" s="93">
        <f>23252+7096+16156</f>
        <v>46504</v>
      </c>
      <c r="H645" s="93">
        <f>+G645-SUM(F645:F647)</f>
        <v>23168</v>
      </c>
      <c r="I645" s="91">
        <v>3.6</v>
      </c>
      <c r="J645" s="91"/>
      <c r="K645" s="92"/>
    </row>
    <row r="646" spans="2:11" x14ac:dyDescent="0.3">
      <c r="B646" s="94">
        <v>46169</v>
      </c>
      <c r="C646" s="37" t="s">
        <v>301</v>
      </c>
      <c r="D646" s="125">
        <v>21</v>
      </c>
      <c r="E646" s="95" t="str">
        <f>+VLOOKUP(D646,'Código Tambos'!B:C,2,0)</f>
        <v>Brivio Eduardo (TBR)</v>
      </c>
      <c r="F646" s="96">
        <v>3931</v>
      </c>
      <c r="G646" s="97"/>
      <c r="H646" s="97"/>
      <c r="I646" s="95">
        <v>2.4</v>
      </c>
      <c r="J646" s="95"/>
      <c r="K646" s="96"/>
    </row>
    <row r="647" spans="2:11" x14ac:dyDescent="0.3">
      <c r="B647" s="98">
        <v>46169</v>
      </c>
      <c r="C647" s="30" t="s">
        <v>301</v>
      </c>
      <c r="D647" s="126">
        <v>13</v>
      </c>
      <c r="E647" s="99" t="str">
        <f>+VLOOKUP(D647,'Código Tambos'!B:C,2,0)</f>
        <v>Estancia Aleluya</v>
      </c>
      <c r="F647" s="100">
        <v>8175</v>
      </c>
      <c r="G647" s="101"/>
      <c r="H647" s="101"/>
      <c r="I647" s="99">
        <v>2.5</v>
      </c>
      <c r="J647" s="99"/>
      <c r="K647" s="100"/>
    </row>
    <row r="648" spans="2:11" x14ac:dyDescent="0.3">
      <c r="B648" s="86">
        <v>46170</v>
      </c>
      <c r="C648" s="76" t="s">
        <v>302</v>
      </c>
      <c r="D648" s="127">
        <v>13</v>
      </c>
      <c r="E648" s="77" t="str">
        <f>+VLOOKUP(D648,'Código Tambos'!B:C,2,0)</f>
        <v>Estancia Aleluya</v>
      </c>
      <c r="F648" s="79">
        <v>7026</v>
      </c>
      <c r="G648" s="78">
        <f>6874+23795+16556</f>
        <v>47225</v>
      </c>
      <c r="H648" s="78">
        <f>+G648-SUM(F648:F654)</f>
        <v>970</v>
      </c>
      <c r="I648" s="77">
        <v>3.8</v>
      </c>
      <c r="J648" s="77"/>
      <c r="K648" s="79"/>
    </row>
    <row r="649" spans="2:11" x14ac:dyDescent="0.3">
      <c r="B649" s="86">
        <v>46170</v>
      </c>
      <c r="C649" s="76" t="s">
        <v>303</v>
      </c>
      <c r="D649" s="127">
        <v>23</v>
      </c>
      <c r="E649" s="77" t="str">
        <f>+VLOOKUP(D649,'Código Tambos'!B:C,2,0)</f>
        <v>La Victoria</v>
      </c>
      <c r="F649" s="79">
        <v>10959</v>
      </c>
      <c r="G649" s="78"/>
      <c r="H649" s="78"/>
      <c r="I649" s="77">
        <v>3.4</v>
      </c>
      <c r="J649" s="77"/>
      <c r="K649" s="79"/>
    </row>
    <row r="650" spans="2:11" x14ac:dyDescent="0.3">
      <c r="B650" s="86">
        <v>46170</v>
      </c>
      <c r="C650" s="76" t="s">
        <v>303</v>
      </c>
      <c r="D650" s="127">
        <v>21</v>
      </c>
      <c r="E650" s="77" t="str">
        <f>+VLOOKUP(D650,'Código Tambos'!B:C,2,0)</f>
        <v>Brivio Eduardo (TBR)</v>
      </c>
      <c r="F650" s="79">
        <v>3766</v>
      </c>
      <c r="G650" s="78"/>
      <c r="H650" s="78"/>
      <c r="I650" s="77">
        <v>2.7</v>
      </c>
      <c r="J650" s="77"/>
      <c r="K650" s="79"/>
    </row>
    <row r="651" spans="2:11" x14ac:dyDescent="0.3">
      <c r="B651" s="86">
        <v>46170</v>
      </c>
      <c r="C651" s="76" t="s">
        <v>303</v>
      </c>
      <c r="D651" s="127">
        <v>13</v>
      </c>
      <c r="E651" s="77" t="str">
        <f>+VLOOKUP(D651,'Código Tambos'!B:C,2,0)</f>
        <v>Estancia Aleluya</v>
      </c>
      <c r="F651" s="79">
        <v>8081</v>
      </c>
      <c r="G651" s="78"/>
      <c r="H651" s="78"/>
      <c r="I651" s="77">
        <v>3</v>
      </c>
      <c r="J651" s="77"/>
      <c r="K651" s="79"/>
    </row>
    <row r="652" spans="2:11" x14ac:dyDescent="0.3">
      <c r="B652" s="86">
        <v>46170</v>
      </c>
      <c r="C652" s="76" t="s">
        <v>304</v>
      </c>
      <c r="D652" s="127">
        <v>10</v>
      </c>
      <c r="E652" s="77" t="str">
        <f>+VLOOKUP(D652,'Código Tambos'!B:C,2,0)</f>
        <v>Huaca Hue</v>
      </c>
      <c r="F652" s="79">
        <v>7658</v>
      </c>
      <c r="G652" s="78"/>
      <c r="H652" s="78"/>
      <c r="I652" s="77">
        <v>2.9</v>
      </c>
      <c r="J652" s="77"/>
      <c r="K652" s="79"/>
    </row>
    <row r="653" spans="2:11" x14ac:dyDescent="0.3">
      <c r="B653" s="86">
        <v>46170</v>
      </c>
      <c r="C653" s="76" t="s">
        <v>304</v>
      </c>
      <c r="D653" s="127" t="s">
        <v>183</v>
      </c>
      <c r="E653" s="77" t="str">
        <f>+VLOOKUP(D653,'Código Tambos'!B:C,2,0)</f>
        <v>Larregain Hnos (TLR)</v>
      </c>
      <c r="F653" s="79">
        <v>7034</v>
      </c>
      <c r="G653" s="78"/>
      <c r="H653" s="78"/>
      <c r="I653" s="77">
        <v>3.2</v>
      </c>
      <c r="J653" s="77"/>
      <c r="K653" s="79"/>
    </row>
    <row r="654" spans="2:11" x14ac:dyDescent="0.3">
      <c r="B654" s="88">
        <v>46170</v>
      </c>
      <c r="C654" s="33" t="s">
        <v>304</v>
      </c>
      <c r="D654" s="128" t="s">
        <v>184</v>
      </c>
      <c r="E654" s="81" t="str">
        <f>+VLOOKUP(D654,'Código Tambos'!B:C,2,0)</f>
        <v>Larregain Hnos (TLR)</v>
      </c>
      <c r="F654" s="83">
        <v>1731</v>
      </c>
      <c r="G654" s="82"/>
      <c r="H654" s="82"/>
      <c r="I654" s="81">
        <v>3</v>
      </c>
      <c r="J654" s="81"/>
      <c r="K654" s="83"/>
    </row>
    <row r="655" spans="2:11" x14ac:dyDescent="0.3">
      <c r="B655" s="103">
        <v>46179</v>
      </c>
      <c r="C655" s="24" t="s">
        <v>306</v>
      </c>
      <c r="D655" s="129" t="s">
        <v>221</v>
      </c>
      <c r="E655" s="91" t="s">
        <v>11</v>
      </c>
      <c r="F655" s="104">
        <v>6546</v>
      </c>
      <c r="G655" s="105">
        <v>6402</v>
      </c>
      <c r="H655" s="105">
        <f>+G655-SUM(F655:F655)</f>
        <v>-144</v>
      </c>
      <c r="I655" s="23">
        <v>3.8</v>
      </c>
      <c r="J655" s="23"/>
      <c r="K655" s="104"/>
    </row>
    <row r="656" spans="2:11" x14ac:dyDescent="0.3">
      <c r="B656" s="84">
        <v>46180</v>
      </c>
      <c r="C656" s="32" t="s">
        <v>307</v>
      </c>
      <c r="D656" s="135">
        <v>13</v>
      </c>
      <c r="E656" s="72" t="str">
        <f>+VLOOKUP(D656,'Código Tambos'!B:C,2,0)</f>
        <v>Estancia Aleluya</v>
      </c>
      <c r="F656" s="74">
        <v>7680</v>
      </c>
      <c r="G656" s="73">
        <v>24070</v>
      </c>
      <c r="H656" s="73">
        <f>+G656-SUM(F656:F659)</f>
        <v>0</v>
      </c>
      <c r="I656" s="72">
        <v>4.8</v>
      </c>
      <c r="J656" s="72"/>
      <c r="K656" s="74"/>
    </row>
    <row r="657" spans="2:11" x14ac:dyDescent="0.3">
      <c r="B657" s="86">
        <v>46180</v>
      </c>
      <c r="C657" s="76" t="s">
        <v>307</v>
      </c>
      <c r="D657" s="127">
        <v>10</v>
      </c>
      <c r="E657" s="77" t="str">
        <f>+VLOOKUP(D657,'Código Tambos'!B:C,2,0)</f>
        <v>Huaca Hue</v>
      </c>
      <c r="F657" s="79">
        <v>7970</v>
      </c>
      <c r="G657" s="78"/>
      <c r="H657" s="78"/>
      <c r="I657" s="77">
        <v>4.9000000000000004</v>
      </c>
      <c r="J657" s="77"/>
      <c r="K657" s="79"/>
    </row>
    <row r="658" spans="2:11" x14ac:dyDescent="0.3">
      <c r="B658" s="86">
        <v>46180</v>
      </c>
      <c r="C658" s="76" t="s">
        <v>307</v>
      </c>
      <c r="D658" s="127" t="s">
        <v>183</v>
      </c>
      <c r="E658" s="77" t="str">
        <f>+VLOOKUP(D658,'Código Tambos'!B:C,2,0)</f>
        <v>Larregain Hnos (TLR)</v>
      </c>
      <c r="F658" s="79">
        <v>6724</v>
      </c>
      <c r="G658" s="78"/>
      <c r="H658" s="78"/>
      <c r="I658" s="77">
        <v>4.8</v>
      </c>
      <c r="J658" s="77"/>
      <c r="K658" s="79"/>
    </row>
    <row r="659" spans="2:11" x14ac:dyDescent="0.3">
      <c r="B659" s="88">
        <v>46180</v>
      </c>
      <c r="C659" s="33" t="s">
        <v>307</v>
      </c>
      <c r="D659" s="128" t="s">
        <v>184</v>
      </c>
      <c r="E659" s="81" t="str">
        <f>+VLOOKUP(D659,'Código Tambos'!B:C,2,0)</f>
        <v>Larregain Hnos (TLR)</v>
      </c>
      <c r="F659" s="83">
        <v>1696</v>
      </c>
      <c r="G659" s="82"/>
      <c r="H659" s="82"/>
      <c r="I659" s="81">
        <v>3.9</v>
      </c>
      <c r="J659" s="81"/>
      <c r="K659" s="83"/>
    </row>
    <row r="660" spans="2:11" x14ac:dyDescent="0.3">
      <c r="B660" s="90">
        <v>46180</v>
      </c>
      <c r="C660" s="28" t="s">
        <v>308</v>
      </c>
      <c r="D660" s="136">
        <v>13</v>
      </c>
      <c r="E660" s="91" t="str">
        <f>+VLOOKUP(D660,'Código Tambos'!B:C,2,0)</f>
        <v>Estancia Aleluya</v>
      </c>
      <c r="F660" s="92">
        <v>6715</v>
      </c>
      <c r="G660" s="93">
        <f>6587+22304</f>
        <v>28891</v>
      </c>
      <c r="H660" s="93">
        <f>+G660-SUM(F660:F663)</f>
        <v>-649</v>
      </c>
      <c r="I660" s="91">
        <v>4.0999999999999996</v>
      </c>
      <c r="J660" s="91"/>
      <c r="K660" s="92"/>
    </row>
    <row r="661" spans="2:11" x14ac:dyDescent="0.3">
      <c r="B661" s="94">
        <v>46181</v>
      </c>
      <c r="C661" s="37" t="s">
        <v>309</v>
      </c>
      <c r="D661" s="125">
        <v>13</v>
      </c>
      <c r="E661" s="95" t="str">
        <f>+VLOOKUP(D661,'Código Tambos'!B:C,2,0)</f>
        <v>Estancia Aleluya</v>
      </c>
      <c r="F661" s="96">
        <v>7879</v>
      </c>
      <c r="G661" s="97"/>
      <c r="H661" s="97"/>
      <c r="I661" s="95">
        <v>4.3</v>
      </c>
      <c r="J661" s="95"/>
      <c r="K661" s="96"/>
    </row>
    <row r="662" spans="2:11" x14ac:dyDescent="0.3">
      <c r="B662" s="94">
        <v>45846</v>
      </c>
      <c r="C662" s="37" t="s">
        <v>309</v>
      </c>
      <c r="D662" s="125">
        <v>10</v>
      </c>
      <c r="E662" s="95" t="str">
        <f>+VLOOKUP(D662,'Código Tambos'!B:C,2,0)</f>
        <v>Huaca Hue</v>
      </c>
      <c r="F662" s="96">
        <v>8071</v>
      </c>
      <c r="G662" s="97"/>
      <c r="H662" s="97"/>
      <c r="I662" s="95">
        <v>3.1</v>
      </c>
      <c r="J662" s="95"/>
      <c r="K662" s="96"/>
    </row>
    <row r="663" spans="2:11" x14ac:dyDescent="0.3">
      <c r="B663" s="98">
        <v>45846</v>
      </c>
      <c r="C663" s="30" t="s">
        <v>309</v>
      </c>
      <c r="D663" s="126" t="s">
        <v>183</v>
      </c>
      <c r="E663" s="99" t="str">
        <f>+VLOOKUP(D663,'Código Tambos'!B:C,2,0)</f>
        <v>Larregain Hnos (TLR)</v>
      </c>
      <c r="F663" s="100">
        <v>6875</v>
      </c>
      <c r="G663" s="101"/>
      <c r="H663" s="101"/>
      <c r="I663" s="99"/>
      <c r="J663" s="99"/>
      <c r="K663" s="100"/>
    </row>
    <row r="664" spans="2:11" x14ac:dyDescent="0.3">
      <c r="B664" s="84">
        <v>46181</v>
      </c>
      <c r="C664" s="32" t="s">
        <v>310</v>
      </c>
      <c r="D664" s="135">
        <v>13</v>
      </c>
      <c r="E664" s="72" t="str">
        <f>+VLOOKUP(D664,'Código Tambos'!B:C,2,0)</f>
        <v>Estancia Aleluya</v>
      </c>
      <c r="F664" s="74">
        <v>6658</v>
      </c>
      <c r="G664" s="73">
        <f>18025+9018+6482</f>
        <v>33525</v>
      </c>
      <c r="H664" s="73">
        <f>+G664-SUM(F664:F668)</f>
        <v>1</v>
      </c>
      <c r="I664" s="72">
        <v>2.2999999999999998</v>
      </c>
      <c r="J664" s="72"/>
      <c r="K664" s="74"/>
    </row>
    <row r="665" spans="2:11" x14ac:dyDescent="0.3">
      <c r="B665" s="86">
        <v>46182</v>
      </c>
      <c r="C665" s="76" t="s">
        <v>311</v>
      </c>
      <c r="D665" s="127">
        <v>13</v>
      </c>
      <c r="E665" s="77" t="str">
        <f>+VLOOKUP(D665,'Código Tambos'!B:C,2,0)</f>
        <v>Estancia Aleluya</v>
      </c>
      <c r="F665" s="79">
        <v>8978</v>
      </c>
      <c r="G665" s="78"/>
      <c r="H665" s="78"/>
      <c r="I665" s="77">
        <v>4.7</v>
      </c>
      <c r="J665" s="77"/>
      <c r="K665" s="79"/>
    </row>
    <row r="666" spans="2:11" x14ac:dyDescent="0.3">
      <c r="B666" s="86">
        <v>46182</v>
      </c>
      <c r="C666" s="76" t="s">
        <v>312</v>
      </c>
      <c r="D666" s="127">
        <v>10</v>
      </c>
      <c r="E666" s="77" t="str">
        <f>+VLOOKUP(D666,'Código Tambos'!B:C,2,0)</f>
        <v>Huaca Hue</v>
      </c>
      <c r="F666" s="79">
        <v>7753</v>
      </c>
      <c r="G666" s="78"/>
      <c r="H666" s="78"/>
      <c r="I666" s="77">
        <v>3</v>
      </c>
      <c r="J666" s="77"/>
      <c r="K666" s="79"/>
    </row>
    <row r="667" spans="2:11" x14ac:dyDescent="0.3">
      <c r="B667" s="86">
        <v>46182</v>
      </c>
      <c r="C667" s="76" t="s">
        <v>311</v>
      </c>
      <c r="D667" s="127" t="s">
        <v>183</v>
      </c>
      <c r="E667" s="77" t="str">
        <f>+VLOOKUP(D667,'Código Tambos'!B:C,2,0)</f>
        <v>Larregain Hnos (TLR)</v>
      </c>
      <c r="F667" s="79">
        <v>6945</v>
      </c>
      <c r="G667" s="78"/>
      <c r="H667" s="78"/>
      <c r="I667" s="77">
        <v>2.6</v>
      </c>
      <c r="J667" s="77"/>
      <c r="K667" s="79"/>
    </row>
    <row r="668" spans="2:11" x14ac:dyDescent="0.3">
      <c r="B668" s="88">
        <v>46182</v>
      </c>
      <c r="C668" s="33" t="s">
        <v>313</v>
      </c>
      <c r="D668" s="128" t="s">
        <v>184</v>
      </c>
      <c r="E668" s="81" t="str">
        <f>+VLOOKUP(D668,'Código Tambos'!B:C,2,0)</f>
        <v>Larregain Hnos (TLR)</v>
      </c>
      <c r="F668" s="83">
        <v>3190</v>
      </c>
      <c r="G668" s="82"/>
      <c r="H668" s="82"/>
      <c r="I668" s="81">
        <v>3.5</v>
      </c>
      <c r="J668" s="81"/>
      <c r="K668" s="83"/>
    </row>
    <row r="669" spans="2:11" x14ac:dyDescent="0.3">
      <c r="B669" s="90">
        <v>46183</v>
      </c>
      <c r="C669" s="28" t="s">
        <v>314</v>
      </c>
      <c r="D669" s="136">
        <v>10</v>
      </c>
      <c r="E669" s="91" t="str">
        <f>+VLOOKUP(D669,'Código Tambos'!B:C,2,0)</f>
        <v>Huaca Hue</v>
      </c>
      <c r="F669" s="92">
        <v>7758</v>
      </c>
      <c r="G669" s="93">
        <f>7451+7046+13653</f>
        <v>28150</v>
      </c>
      <c r="H669" s="93">
        <f>+G669-SUM(F669:F672)</f>
        <v>-88</v>
      </c>
      <c r="I669" s="91">
        <v>3</v>
      </c>
      <c r="J669" s="91"/>
      <c r="K669" s="92"/>
    </row>
    <row r="670" spans="2:11" x14ac:dyDescent="0.3">
      <c r="B670" s="94">
        <v>46183</v>
      </c>
      <c r="C670" s="37" t="s">
        <v>314</v>
      </c>
      <c r="D670" s="125" t="s">
        <v>183</v>
      </c>
      <c r="E670" s="95" t="str">
        <f>+VLOOKUP(D670,'Código Tambos'!B:C,2,0)</f>
        <v>Larregain Hnos (TLR)</v>
      </c>
      <c r="F670" s="96">
        <v>5747</v>
      </c>
      <c r="G670" s="97"/>
      <c r="H670" s="97"/>
      <c r="I670" s="95">
        <v>2.7</v>
      </c>
      <c r="J670" s="95"/>
      <c r="K670" s="96"/>
    </row>
    <row r="671" spans="2:11" x14ac:dyDescent="0.3">
      <c r="B671" s="94">
        <v>46183</v>
      </c>
      <c r="C671" s="37" t="s">
        <v>315</v>
      </c>
      <c r="D671" s="125">
        <v>13</v>
      </c>
      <c r="E671" s="95" t="str">
        <f>+VLOOKUP(D671,'Código Tambos'!B:C,2,0)</f>
        <v>Estancia Aleluya</v>
      </c>
      <c r="F671" s="96">
        <v>7232</v>
      </c>
      <c r="G671" s="97"/>
      <c r="H671" s="97"/>
      <c r="I671" s="95">
        <v>2.5</v>
      </c>
      <c r="J671" s="95"/>
      <c r="K671" s="96"/>
    </row>
    <row r="672" spans="2:11" x14ac:dyDescent="0.3">
      <c r="B672" s="98">
        <v>46183</v>
      </c>
      <c r="C672" s="30" t="s">
        <v>316</v>
      </c>
      <c r="D672" s="126">
        <v>13</v>
      </c>
      <c r="E672" s="99" t="str">
        <f>+VLOOKUP(D672,'Código Tambos'!B:C,2,0)</f>
        <v>Estancia Aleluya</v>
      </c>
      <c r="F672" s="100">
        <v>7501</v>
      </c>
      <c r="G672" s="101"/>
      <c r="H672" s="101"/>
      <c r="I672" s="99">
        <v>2.2999999999999998</v>
      </c>
      <c r="J672" s="99"/>
      <c r="K672" s="100"/>
    </row>
    <row r="673" spans="2:11" x14ac:dyDescent="0.3">
      <c r="B673" s="84">
        <v>46184</v>
      </c>
      <c r="C673" s="32" t="s">
        <v>317</v>
      </c>
      <c r="D673" s="135">
        <v>10</v>
      </c>
      <c r="E673" s="72" t="str">
        <f>+VLOOKUP(D673,'Código Tambos'!B:C,2,0)</f>
        <v>Huaca Hue</v>
      </c>
      <c r="F673" s="74">
        <v>8308</v>
      </c>
      <c r="G673" s="73">
        <v>25654</v>
      </c>
      <c r="H673" s="73">
        <f>+G673-SUM(F673:F676)</f>
        <v>52</v>
      </c>
      <c r="I673" s="72">
        <v>3.1</v>
      </c>
      <c r="J673" s="72"/>
      <c r="K673" s="74"/>
    </row>
    <row r="674" spans="2:11" x14ac:dyDescent="0.3">
      <c r="B674" s="86">
        <v>46184</v>
      </c>
      <c r="C674" s="76" t="s">
        <v>317</v>
      </c>
      <c r="D674" s="127" t="s">
        <v>183</v>
      </c>
      <c r="E674" s="77" t="str">
        <f>+VLOOKUP(D674,'Código Tambos'!B:C,2,0)</f>
        <v>Larregain Hnos (TLR)</v>
      </c>
      <c r="F674" s="79">
        <v>5611</v>
      </c>
      <c r="G674" s="78"/>
      <c r="H674" s="78"/>
      <c r="I674" s="77">
        <v>3</v>
      </c>
      <c r="J674" s="77"/>
      <c r="K674" s="79"/>
    </row>
    <row r="675" spans="2:11" x14ac:dyDescent="0.3">
      <c r="B675" s="86">
        <v>46184</v>
      </c>
      <c r="C675" s="76" t="s">
        <v>317</v>
      </c>
      <c r="D675" s="127" t="s">
        <v>184</v>
      </c>
      <c r="E675" s="77" t="str">
        <f>+VLOOKUP(D675,'Código Tambos'!B:C,2,0)</f>
        <v>Larregain Hnos (TLR)</v>
      </c>
      <c r="F675" s="79">
        <v>4468</v>
      </c>
      <c r="G675" s="78"/>
      <c r="H675" s="78"/>
      <c r="I675" s="77">
        <v>3.6</v>
      </c>
      <c r="J675" s="77"/>
      <c r="K675" s="79"/>
    </row>
    <row r="676" spans="2:11" x14ac:dyDescent="0.3">
      <c r="B676" s="88">
        <v>46184</v>
      </c>
      <c r="C676" s="33" t="s">
        <v>317</v>
      </c>
      <c r="D676" s="128">
        <v>13</v>
      </c>
      <c r="E676" s="81" t="str">
        <f>+VLOOKUP(D676,'Código Tambos'!B:C,2,0)</f>
        <v>Estancia Aleluya</v>
      </c>
      <c r="F676" s="83">
        <v>7215</v>
      </c>
      <c r="G676" s="82"/>
      <c r="H676" s="82"/>
      <c r="I676" s="81">
        <v>2.4</v>
      </c>
      <c r="J676" s="81"/>
      <c r="K676" s="83"/>
    </row>
    <row r="677" spans="2:11" x14ac:dyDescent="0.3">
      <c r="B677" s="103">
        <v>46187</v>
      </c>
      <c r="C677" s="24" t="s">
        <v>318</v>
      </c>
      <c r="D677" s="129">
        <v>13</v>
      </c>
      <c r="E677" s="23" t="str">
        <f>+VLOOKUP(D677,'Código Tambos'!B:C,2,0)</f>
        <v>Estancia Aleluya</v>
      </c>
      <c r="F677" s="104">
        <v>6741</v>
      </c>
      <c r="G677" s="105">
        <v>6766</v>
      </c>
      <c r="H677" s="105">
        <f>+G677-SUM(F677:F677)</f>
        <v>25</v>
      </c>
      <c r="I677" s="23">
        <v>2.6</v>
      </c>
      <c r="J677" s="23"/>
      <c r="K677" s="104"/>
    </row>
    <row r="678" spans="2:11" x14ac:dyDescent="0.3">
      <c r="B678" s="84">
        <v>46188</v>
      </c>
      <c r="C678" s="32" t="s">
        <v>319</v>
      </c>
      <c r="D678" s="135">
        <v>21</v>
      </c>
      <c r="E678" s="72" t="str">
        <f>+VLOOKUP(D678,'Código Tambos'!B:C,2,0)</f>
        <v>Brivio Eduardo (TBR)</v>
      </c>
      <c r="F678" s="74">
        <v>2148</v>
      </c>
      <c r="G678" s="73">
        <f>6492+19221+9861</f>
        <v>35574</v>
      </c>
      <c r="H678" s="137">
        <f>+G678-SUM(F678:F684)</f>
        <v>257</v>
      </c>
      <c r="I678" s="72">
        <v>2.6</v>
      </c>
      <c r="J678" s="72"/>
      <c r="K678" s="74"/>
    </row>
    <row r="679" spans="2:11" x14ac:dyDescent="0.3">
      <c r="B679" s="86">
        <v>46188</v>
      </c>
      <c r="C679" s="76" t="s">
        <v>319</v>
      </c>
      <c r="D679" s="127">
        <v>13</v>
      </c>
      <c r="E679" s="77" t="str">
        <f>+VLOOKUP(D679,'Código Tambos'!B:C,2,0)</f>
        <v>Estancia Aleluya</v>
      </c>
      <c r="F679" s="79">
        <v>7693</v>
      </c>
      <c r="G679" s="78"/>
      <c r="H679" s="78"/>
      <c r="I679" s="77">
        <v>3</v>
      </c>
      <c r="J679" s="77"/>
      <c r="K679" s="79"/>
    </row>
    <row r="680" spans="2:11" x14ac:dyDescent="0.3">
      <c r="B680" s="86">
        <v>46188</v>
      </c>
      <c r="C680" s="76" t="s">
        <v>320</v>
      </c>
      <c r="D680" s="127">
        <v>13</v>
      </c>
      <c r="E680" s="77" t="str">
        <f>+VLOOKUP(D680,'Código Tambos'!B:C,2,0)</f>
        <v>Estancia Aleluya</v>
      </c>
      <c r="F680" s="79">
        <v>6592</v>
      </c>
      <c r="G680" s="78"/>
      <c r="H680" s="78"/>
      <c r="I680" s="77">
        <v>3.1</v>
      </c>
      <c r="J680" s="77"/>
      <c r="K680" s="79"/>
    </row>
    <row r="681" spans="2:11" x14ac:dyDescent="0.3">
      <c r="B681" s="86">
        <v>46188</v>
      </c>
      <c r="C681" s="76" t="s">
        <v>321</v>
      </c>
      <c r="D681" s="127">
        <v>10</v>
      </c>
      <c r="E681" s="77" t="str">
        <f>+VLOOKUP(D681,'Código Tambos'!B:C,2,0)</f>
        <v>Huaca Hue</v>
      </c>
      <c r="F681" s="79">
        <v>8013</v>
      </c>
      <c r="G681" s="78"/>
      <c r="H681" s="78"/>
      <c r="I681" s="77">
        <v>4.5999999999999996</v>
      </c>
      <c r="J681" s="77"/>
      <c r="K681" s="79"/>
    </row>
    <row r="682" spans="2:11" x14ac:dyDescent="0.3">
      <c r="B682" s="86">
        <v>46188</v>
      </c>
      <c r="C682" s="76" t="s">
        <v>321</v>
      </c>
      <c r="D682" s="127" t="s">
        <v>184</v>
      </c>
      <c r="E682" s="77" t="str">
        <f>+VLOOKUP(D682,'Código Tambos'!B:C,2,0)</f>
        <v>Larregain Hnos (TLR)</v>
      </c>
      <c r="F682" s="79">
        <v>2171</v>
      </c>
      <c r="G682" s="78"/>
      <c r="H682" s="78"/>
      <c r="I682" s="77">
        <v>3.9</v>
      </c>
      <c r="J682" s="77"/>
      <c r="K682" s="79"/>
    </row>
    <row r="683" spans="2:11" x14ac:dyDescent="0.3">
      <c r="B683" s="86">
        <v>46188</v>
      </c>
      <c r="C683" s="76" t="s">
        <v>321</v>
      </c>
      <c r="D683" s="127" t="s">
        <v>183</v>
      </c>
      <c r="E683" s="77" t="str">
        <f>+VLOOKUP(D683,'Código Tambos'!B:C,2,0)</f>
        <v>Larregain Hnos (TLR)</v>
      </c>
      <c r="F683" s="79">
        <v>5548</v>
      </c>
      <c r="G683" s="78"/>
      <c r="H683" s="78"/>
      <c r="I683" s="77">
        <v>3.5</v>
      </c>
      <c r="J683" s="77"/>
      <c r="K683" s="79"/>
    </row>
    <row r="684" spans="2:11" x14ac:dyDescent="0.3">
      <c r="B684" s="88">
        <v>46188</v>
      </c>
      <c r="C684" s="33" t="s">
        <v>321</v>
      </c>
      <c r="D684" s="128">
        <v>12</v>
      </c>
      <c r="E684" s="81" t="str">
        <f>+VLOOKUP(D684,'Código Tambos'!B:C,2,0)</f>
        <v>Santa Isabel</v>
      </c>
      <c r="F684" s="83">
        <v>3152</v>
      </c>
      <c r="G684" s="82"/>
      <c r="H684" s="82"/>
      <c r="I684" s="81">
        <v>5</v>
      </c>
      <c r="J684" s="81"/>
      <c r="K684" s="83"/>
    </row>
    <row r="685" spans="2:11" x14ac:dyDescent="0.3">
      <c r="B685" s="90">
        <v>46189</v>
      </c>
      <c r="C685" s="28" t="s">
        <v>322</v>
      </c>
      <c r="D685" s="136">
        <v>21</v>
      </c>
      <c r="E685" s="91" t="str">
        <f>+VLOOKUP(D685,'Código Tambos'!B:C,2,0)</f>
        <v>Brivio Eduardo (TBR)</v>
      </c>
      <c r="F685" s="92">
        <v>3988</v>
      </c>
      <c r="G685" s="93">
        <f>19276+19276</f>
        <v>38552</v>
      </c>
      <c r="H685" s="138">
        <f>+G685-SUM(F685:F691)</f>
        <v>152</v>
      </c>
      <c r="I685" s="91">
        <v>3.4</v>
      </c>
      <c r="J685" s="91"/>
      <c r="K685" s="92"/>
    </row>
    <row r="686" spans="2:11" x14ac:dyDescent="0.3">
      <c r="B686" s="94">
        <v>46189</v>
      </c>
      <c r="C686" s="37" t="s">
        <v>322</v>
      </c>
      <c r="D686" s="125">
        <v>13</v>
      </c>
      <c r="E686" s="95" t="str">
        <f>+VLOOKUP(D686,'Código Tambos'!B:C,2,0)</f>
        <v>Estancia Aleluya</v>
      </c>
      <c r="F686" s="96">
        <v>7812</v>
      </c>
      <c r="G686" s="97"/>
      <c r="H686" s="97"/>
      <c r="I686" s="95">
        <v>2.8</v>
      </c>
      <c r="J686" s="95"/>
      <c r="K686" s="96"/>
    </row>
    <row r="687" spans="2:11" x14ac:dyDescent="0.3">
      <c r="B687" s="94">
        <v>46189</v>
      </c>
      <c r="C687" s="37" t="s">
        <v>322</v>
      </c>
      <c r="D687" s="125">
        <v>24</v>
      </c>
      <c r="E687" s="95" t="s">
        <v>323</v>
      </c>
      <c r="F687" s="96">
        <v>7425</v>
      </c>
      <c r="G687" s="97"/>
      <c r="H687" s="97"/>
      <c r="I687" s="95">
        <v>2.6</v>
      </c>
      <c r="J687" s="95"/>
      <c r="K687" s="96"/>
    </row>
    <row r="688" spans="2:11" x14ac:dyDescent="0.3">
      <c r="B688" s="94">
        <v>46189</v>
      </c>
      <c r="C688" s="37" t="s">
        <v>324</v>
      </c>
      <c r="D688" s="125">
        <v>10</v>
      </c>
      <c r="E688" s="95" t="str">
        <f>+VLOOKUP(D688,'Código Tambos'!B:C,2,0)</f>
        <v>Huaca Hue</v>
      </c>
      <c r="F688" s="96">
        <v>7918</v>
      </c>
      <c r="G688" s="97"/>
      <c r="H688" s="97"/>
      <c r="I688" s="95">
        <v>3.8</v>
      </c>
      <c r="J688" s="95"/>
      <c r="K688" s="96"/>
    </row>
    <row r="689" spans="2:11" x14ac:dyDescent="0.3">
      <c r="B689" s="94">
        <v>46189</v>
      </c>
      <c r="C689" s="37" t="s">
        <v>324</v>
      </c>
      <c r="D689" s="125" t="s">
        <v>183</v>
      </c>
      <c r="E689" s="95" t="str">
        <f>+VLOOKUP(D689,'Código Tambos'!B:C,2,0)</f>
        <v>Larregain Hnos (TLR)</v>
      </c>
      <c r="F689" s="96">
        <v>5779</v>
      </c>
      <c r="G689" s="97"/>
      <c r="H689" s="97"/>
      <c r="I689" s="95">
        <v>3.5</v>
      </c>
      <c r="J689" s="95"/>
      <c r="K689" s="96"/>
    </row>
    <row r="690" spans="2:11" x14ac:dyDescent="0.3">
      <c r="B690" s="94">
        <v>46189</v>
      </c>
      <c r="C690" s="37" t="s">
        <v>324</v>
      </c>
      <c r="D690" s="125" t="s">
        <v>184</v>
      </c>
      <c r="E690" s="95" t="str">
        <f>+VLOOKUP(D690,'Código Tambos'!B:C,2,0)</f>
        <v>Larregain Hnos (TLR)</v>
      </c>
      <c r="F690" s="96">
        <v>2164</v>
      </c>
      <c r="G690" s="97"/>
      <c r="H690" s="97"/>
      <c r="I690" s="95">
        <v>4.3</v>
      </c>
      <c r="J690" s="95"/>
      <c r="K690" s="96"/>
    </row>
    <row r="691" spans="2:11" x14ac:dyDescent="0.3">
      <c r="B691" s="98">
        <v>46189</v>
      </c>
      <c r="C691" s="30" t="s">
        <v>324</v>
      </c>
      <c r="D691" s="126">
        <v>12</v>
      </c>
      <c r="E691" s="99" t="str">
        <f>+VLOOKUP(D691,'Código Tambos'!B:C,2,0)</f>
        <v>Santa Isabel</v>
      </c>
      <c r="F691" s="100">
        <v>3314</v>
      </c>
      <c r="G691" s="101"/>
      <c r="H691" s="101"/>
      <c r="I691" s="99">
        <v>5.2</v>
      </c>
      <c r="J691" s="99"/>
      <c r="K691" s="100"/>
    </row>
    <row r="692" spans="2:11" x14ac:dyDescent="0.3">
      <c r="B692" s="107">
        <v>46189</v>
      </c>
      <c r="C692" s="108" t="s">
        <v>325</v>
      </c>
      <c r="D692" s="174">
        <v>13</v>
      </c>
      <c r="E692" s="109" t="str">
        <f>+VLOOKUP(D692,'Código Tambos'!B:C,2,0)</f>
        <v>Estancia Aleluya</v>
      </c>
      <c r="F692" s="110">
        <v>6878</v>
      </c>
      <c r="G692" s="111">
        <v>4904</v>
      </c>
      <c r="H692" s="137">
        <f>+G692-SUM(F692:F692)</f>
        <v>-1974</v>
      </c>
      <c r="I692" s="109">
        <v>4.3</v>
      </c>
      <c r="J692" s="109"/>
      <c r="K692" s="110"/>
    </row>
    <row r="693" spans="2:11" x14ac:dyDescent="0.3">
      <c r="B693" s="90">
        <v>46190</v>
      </c>
      <c r="C693" s="28" t="s">
        <v>326</v>
      </c>
      <c r="D693" s="136">
        <v>10</v>
      </c>
      <c r="E693" s="91" t="str">
        <f>+VLOOKUP(D693,'Código Tambos'!B:C,2,0)</f>
        <v>Huaca Hue</v>
      </c>
      <c r="F693" s="92">
        <v>8492</v>
      </c>
      <c r="G693" s="93">
        <v>20112</v>
      </c>
      <c r="H693" s="138">
        <f>+G693-SUM(F693:F696)</f>
        <v>337</v>
      </c>
      <c r="I693" s="91">
        <v>3.5</v>
      </c>
      <c r="J693" s="91"/>
      <c r="K693" s="92"/>
    </row>
    <row r="694" spans="2:11" x14ac:dyDescent="0.3">
      <c r="B694" s="94">
        <v>46190</v>
      </c>
      <c r="C694" s="37" t="s">
        <v>326</v>
      </c>
      <c r="D694" s="125" t="s">
        <v>183</v>
      </c>
      <c r="E694" s="95" t="str">
        <f>+VLOOKUP(D694,'Código Tambos'!B:C,2,0)</f>
        <v>Larregain Hnos (TLR)</v>
      </c>
      <c r="F694" s="96">
        <v>5757</v>
      </c>
      <c r="G694" s="97"/>
      <c r="H694" s="97"/>
      <c r="I694" s="95">
        <v>3.6</v>
      </c>
      <c r="J694" s="95"/>
      <c r="K694" s="96"/>
    </row>
    <row r="695" spans="2:11" x14ac:dyDescent="0.3">
      <c r="B695" s="94">
        <v>46190</v>
      </c>
      <c r="C695" s="37" t="s">
        <v>326</v>
      </c>
      <c r="D695" s="125" t="s">
        <v>184</v>
      </c>
      <c r="E695" s="95" t="str">
        <f>+VLOOKUP(D695,'Código Tambos'!B:C,2,0)</f>
        <v>Larregain Hnos (TLR)</v>
      </c>
      <c r="F695" s="96">
        <v>2297</v>
      </c>
      <c r="G695" s="97"/>
      <c r="H695" s="97"/>
      <c r="I695" s="95">
        <v>4.5</v>
      </c>
      <c r="J695" s="95"/>
      <c r="K695" s="96"/>
    </row>
    <row r="696" spans="2:11" x14ac:dyDescent="0.3">
      <c r="B696" s="98">
        <v>46190</v>
      </c>
      <c r="C696" s="30" t="s">
        <v>326</v>
      </c>
      <c r="D696" s="126">
        <v>12</v>
      </c>
      <c r="E696" s="99" t="str">
        <f>+VLOOKUP(D696,'Código Tambos'!B:C,2,0)</f>
        <v>Santa Isabel</v>
      </c>
      <c r="F696" s="100">
        <v>3229</v>
      </c>
      <c r="G696" s="101"/>
      <c r="H696" s="101"/>
      <c r="I696" s="99">
        <v>5.4</v>
      </c>
      <c r="J696" s="99"/>
      <c r="K696" s="100"/>
    </row>
    <row r="697" spans="2:11" x14ac:dyDescent="0.3">
      <c r="B697" s="84">
        <v>46190</v>
      </c>
      <c r="C697" s="32" t="s">
        <v>327</v>
      </c>
      <c r="D697" s="135">
        <v>21</v>
      </c>
      <c r="E697" s="72" t="str">
        <f>+VLOOKUP(D697,'Código Tambos'!B:C,2,0)</f>
        <v>Brivio Eduardo (TBR)</v>
      </c>
      <c r="F697" s="74">
        <v>3972</v>
      </c>
      <c r="G697" s="117">
        <v>18828</v>
      </c>
      <c r="H697" s="139">
        <f>+G697-SUM(F697:F699)</f>
        <v>37</v>
      </c>
      <c r="I697" s="74">
        <v>3.8</v>
      </c>
      <c r="J697" s="72"/>
      <c r="K697" s="74"/>
    </row>
    <row r="698" spans="2:11" x14ac:dyDescent="0.3">
      <c r="B698" s="86">
        <v>46190</v>
      </c>
      <c r="C698" s="76" t="s">
        <v>327</v>
      </c>
      <c r="D698" s="127">
        <v>24</v>
      </c>
      <c r="E698" s="77" t="s">
        <v>323</v>
      </c>
      <c r="F698" s="79">
        <v>7252</v>
      </c>
      <c r="G698" s="118"/>
      <c r="H698" s="78"/>
      <c r="I698" s="79">
        <v>2.1</v>
      </c>
      <c r="J698" s="77"/>
      <c r="K698" s="79"/>
    </row>
    <row r="699" spans="2:11" x14ac:dyDescent="0.3">
      <c r="B699" s="88">
        <v>46190</v>
      </c>
      <c r="C699" s="33" t="s">
        <v>327</v>
      </c>
      <c r="D699" s="128">
        <v>13</v>
      </c>
      <c r="E699" s="81" t="str">
        <f>+VLOOKUP(D699,'Código Tambos'!B:C,2,0)</f>
        <v>Estancia Aleluya</v>
      </c>
      <c r="F699" s="83">
        <v>7567</v>
      </c>
      <c r="G699" s="119"/>
      <c r="H699" s="82"/>
      <c r="I699" s="83">
        <v>2.5</v>
      </c>
      <c r="J699" s="81"/>
      <c r="K699" s="83"/>
    </row>
    <row r="700" spans="2:11" x14ac:dyDescent="0.3">
      <c r="B700" s="90">
        <v>46190</v>
      </c>
      <c r="C700" s="28" t="s">
        <v>328</v>
      </c>
      <c r="D700" s="136">
        <v>24</v>
      </c>
      <c r="E700" s="91" t="s">
        <v>323</v>
      </c>
      <c r="F700" s="92">
        <v>9656</v>
      </c>
      <c r="G700" s="93">
        <v>16840</v>
      </c>
      <c r="H700" s="140">
        <f>+G700-SUM(F700:F701)</f>
        <v>166</v>
      </c>
      <c r="I700" s="91">
        <v>3.6</v>
      </c>
      <c r="J700" s="91"/>
      <c r="K700" s="92"/>
    </row>
    <row r="701" spans="2:11" x14ac:dyDescent="0.3">
      <c r="B701" s="98">
        <v>46190</v>
      </c>
      <c r="C701" s="30" t="s">
        <v>328</v>
      </c>
      <c r="D701" s="126">
        <v>13</v>
      </c>
      <c r="E701" s="99" t="str">
        <f>+VLOOKUP(D701,'Código Tambos'!B:C,2,0)</f>
        <v>Estancia Aleluya</v>
      </c>
      <c r="F701" s="100">
        <v>7018</v>
      </c>
      <c r="G701" s="101"/>
      <c r="H701" s="101"/>
      <c r="I701" s="99">
        <v>3</v>
      </c>
      <c r="J701" s="99"/>
      <c r="K701" s="100"/>
    </row>
    <row r="702" spans="2:11" x14ac:dyDescent="0.3">
      <c r="B702" s="84">
        <v>46191</v>
      </c>
      <c r="C702" s="32" t="s">
        <v>329</v>
      </c>
      <c r="D702" s="135">
        <v>10</v>
      </c>
      <c r="E702" s="72" t="str">
        <f>+VLOOKUP(D702,'Código Tambos'!B:C,2,0)</f>
        <v>Huaca Hue</v>
      </c>
      <c r="F702" s="74">
        <v>7928</v>
      </c>
      <c r="G702" s="73">
        <v>19370</v>
      </c>
      <c r="H702" s="139">
        <f>+G702-SUM(F702:F705)</f>
        <v>272</v>
      </c>
      <c r="I702" s="72">
        <v>4.0999999999999996</v>
      </c>
      <c r="J702" s="72"/>
      <c r="K702" s="74"/>
    </row>
    <row r="703" spans="2:11" x14ac:dyDescent="0.3">
      <c r="B703" s="86">
        <v>46191</v>
      </c>
      <c r="C703" s="76" t="s">
        <v>329</v>
      </c>
      <c r="D703" s="127" t="s">
        <v>183</v>
      </c>
      <c r="E703" s="77" t="str">
        <f>+VLOOKUP(D703,'Código Tambos'!B:C,2,0)</f>
        <v>Larregain Hnos (TLR)</v>
      </c>
      <c r="F703" s="79">
        <v>5715</v>
      </c>
      <c r="G703" s="78"/>
      <c r="H703" s="78"/>
      <c r="I703" s="77">
        <v>4.5999999999999996</v>
      </c>
      <c r="J703" s="77"/>
      <c r="K703" s="79"/>
    </row>
    <row r="704" spans="2:11" x14ac:dyDescent="0.3">
      <c r="B704" s="86">
        <v>46191</v>
      </c>
      <c r="C704" s="76" t="s">
        <v>329</v>
      </c>
      <c r="D704" s="127" t="s">
        <v>184</v>
      </c>
      <c r="E704" s="77" t="str">
        <f>+VLOOKUP(D704,'Código Tambos'!B:C,2,0)</f>
        <v>Larregain Hnos (TLR)</v>
      </c>
      <c r="F704" s="79">
        <v>2141</v>
      </c>
      <c r="G704" s="78"/>
      <c r="H704" s="78"/>
      <c r="I704" s="77">
        <v>4.0999999999999996</v>
      </c>
      <c r="J704" s="77"/>
      <c r="K704" s="79"/>
    </row>
    <row r="705" spans="2:11" x14ac:dyDescent="0.3">
      <c r="B705" s="88">
        <v>46191</v>
      </c>
      <c r="C705" s="33" t="s">
        <v>329</v>
      </c>
      <c r="D705" s="128">
        <v>12</v>
      </c>
      <c r="E705" s="81" t="str">
        <f>+VLOOKUP(D705,'Código Tambos'!B:C,2,0)</f>
        <v>Santa Isabel</v>
      </c>
      <c r="F705" s="83">
        <v>3314</v>
      </c>
      <c r="G705" s="82"/>
      <c r="H705" s="82"/>
      <c r="I705" s="81">
        <v>5.6</v>
      </c>
      <c r="J705" s="81"/>
      <c r="K705" s="83"/>
    </row>
    <row r="706" spans="2:11" x14ac:dyDescent="0.3">
      <c r="B706" s="90">
        <v>46191</v>
      </c>
      <c r="C706" s="28" t="s">
        <v>330</v>
      </c>
      <c r="D706" s="136">
        <v>23</v>
      </c>
      <c r="E706" s="91" t="str">
        <f>+VLOOKUP(D706,'Código Tambos'!B:C,2,0)</f>
        <v>La Victoria</v>
      </c>
      <c r="F706" s="92">
        <v>11258</v>
      </c>
      <c r="G706" s="93">
        <v>22848</v>
      </c>
      <c r="H706" s="140">
        <f>+G706-SUM(F706:F708)</f>
        <v>254</v>
      </c>
      <c r="I706" s="91">
        <v>3.6</v>
      </c>
      <c r="J706" s="91"/>
      <c r="K706" s="92"/>
    </row>
    <row r="707" spans="2:11" x14ac:dyDescent="0.3">
      <c r="B707" s="94">
        <v>46191</v>
      </c>
      <c r="C707" s="37" t="s">
        <v>330</v>
      </c>
      <c r="D707" s="125">
        <v>21</v>
      </c>
      <c r="E707" s="95" t="str">
        <f>+VLOOKUP(D707,'Código Tambos'!B:C,2,0)</f>
        <v>Brivio Eduardo (TBR)</v>
      </c>
      <c r="F707" s="96">
        <v>4185</v>
      </c>
      <c r="G707" s="97"/>
      <c r="H707" s="97"/>
      <c r="I707" s="95">
        <v>2.5</v>
      </c>
      <c r="J707" s="95"/>
      <c r="K707" s="96"/>
    </row>
    <row r="708" spans="2:11" x14ac:dyDescent="0.3">
      <c r="B708" s="98">
        <v>46191</v>
      </c>
      <c r="C708" s="30" t="s">
        <v>330</v>
      </c>
      <c r="D708" s="126">
        <v>13</v>
      </c>
      <c r="E708" s="99" t="str">
        <f>+VLOOKUP(D708,'Código Tambos'!B:C,2,0)</f>
        <v>Estancia Aleluya</v>
      </c>
      <c r="F708" s="100">
        <v>7151</v>
      </c>
      <c r="G708" s="101"/>
      <c r="H708" s="101"/>
      <c r="I708" s="99">
        <v>2.6</v>
      </c>
      <c r="J708" s="99"/>
      <c r="K708" s="100"/>
    </row>
    <row r="709" spans="2:11" x14ac:dyDescent="0.3">
      <c r="B709" s="107">
        <v>46193</v>
      </c>
      <c r="C709" s="108" t="s">
        <v>331</v>
      </c>
      <c r="D709" s="174">
        <v>13</v>
      </c>
      <c r="E709" s="109" t="str">
        <f>+VLOOKUP(D709,'Código Tambos'!B:C,2,0)</f>
        <v>Estancia Aleluya</v>
      </c>
      <c r="F709" s="110">
        <v>6444</v>
      </c>
      <c r="G709" s="111">
        <v>6344</v>
      </c>
      <c r="H709" s="139">
        <f>+G709-SUM(F709:F709)</f>
        <v>-100</v>
      </c>
      <c r="I709" s="109">
        <v>2.7</v>
      </c>
      <c r="J709" s="109"/>
      <c r="K709" s="110"/>
    </row>
    <row r="710" spans="2:11" x14ac:dyDescent="0.3">
      <c r="B710" s="84">
        <v>46194</v>
      </c>
      <c r="C710" s="32" t="s">
        <v>332</v>
      </c>
      <c r="D710" s="135">
        <v>13</v>
      </c>
      <c r="E710" s="72" t="str">
        <f>+VLOOKUP(D710,'Código Tambos'!B:C,2,0)</f>
        <v>Estancia Aleluya</v>
      </c>
      <c r="F710" s="74">
        <v>7631</v>
      </c>
      <c r="G710" s="117">
        <f>7542+16046+22404</f>
        <v>45992</v>
      </c>
      <c r="H710" s="139">
        <f>+G710-SUM(F710:F717)</f>
        <v>532</v>
      </c>
      <c r="I710" s="74">
        <v>2.6</v>
      </c>
      <c r="J710" s="72"/>
      <c r="K710" s="74"/>
    </row>
    <row r="711" spans="2:11" x14ac:dyDescent="0.3">
      <c r="B711" s="86">
        <v>46194</v>
      </c>
      <c r="C711" s="76" t="s">
        <v>333</v>
      </c>
      <c r="D711" s="127">
        <v>10</v>
      </c>
      <c r="E711" s="77" t="str">
        <f>+VLOOKUP(D711,'Código Tambos'!B:C,2,0)</f>
        <v>Huaca Hue</v>
      </c>
      <c r="F711" s="79">
        <v>4252</v>
      </c>
      <c r="G711" s="118"/>
      <c r="H711" s="78"/>
      <c r="I711" s="79">
        <v>2.9</v>
      </c>
      <c r="J711" s="77"/>
      <c r="K711" s="79"/>
    </row>
    <row r="712" spans="2:11" x14ac:dyDescent="0.3">
      <c r="B712" s="86">
        <v>46194</v>
      </c>
      <c r="C712" s="76" t="s">
        <v>333</v>
      </c>
      <c r="D712" s="127" t="s">
        <v>183</v>
      </c>
      <c r="E712" s="77" t="str">
        <f>+VLOOKUP(D712,'Código Tambos'!B:C,2,0)</f>
        <v>Larregain Hnos (TLR)</v>
      </c>
      <c r="F712" s="79">
        <v>5964</v>
      </c>
      <c r="G712" s="118"/>
      <c r="H712" s="78"/>
      <c r="I712" s="79">
        <v>3.1</v>
      </c>
      <c r="J712" s="77"/>
      <c r="K712" s="79"/>
    </row>
    <row r="713" spans="2:11" x14ac:dyDescent="0.3">
      <c r="B713" s="86">
        <v>46194</v>
      </c>
      <c r="C713" s="76" t="s">
        <v>333</v>
      </c>
      <c r="D713" s="127" t="s">
        <v>184</v>
      </c>
      <c r="E713" s="77" t="str">
        <f>+VLOOKUP(D713,'Código Tambos'!B:C,2,0)</f>
        <v>Larregain Hnos (TLR)</v>
      </c>
      <c r="F713" s="79">
        <v>2179</v>
      </c>
      <c r="G713" s="118"/>
      <c r="H713" s="78"/>
      <c r="I713" s="79">
        <v>3.7</v>
      </c>
      <c r="J713" s="77"/>
      <c r="K713" s="79"/>
    </row>
    <row r="714" spans="2:11" x14ac:dyDescent="0.3">
      <c r="B714" s="86">
        <v>46194</v>
      </c>
      <c r="C714" s="76" t="s">
        <v>333</v>
      </c>
      <c r="D714" s="127">
        <v>12</v>
      </c>
      <c r="E714" s="77" t="str">
        <f>+VLOOKUP(D714,'Código Tambos'!B:C,2,0)</f>
        <v>Santa Isabel</v>
      </c>
      <c r="F714" s="79">
        <v>3271</v>
      </c>
      <c r="G714" s="118"/>
      <c r="H714" s="78"/>
      <c r="I714" s="79">
        <v>4.5999999999999996</v>
      </c>
      <c r="J714" s="77"/>
      <c r="K714" s="79"/>
    </row>
    <row r="715" spans="2:11" x14ac:dyDescent="0.3">
      <c r="B715" s="86">
        <v>46194</v>
      </c>
      <c r="C715" s="76" t="s">
        <v>334</v>
      </c>
      <c r="D715" s="127">
        <v>23</v>
      </c>
      <c r="E715" s="77" t="str">
        <f>+VLOOKUP(D715,'Código Tambos'!B:C,2,0)</f>
        <v>La Victoria</v>
      </c>
      <c r="F715" s="79">
        <v>11254</v>
      </c>
      <c r="G715" s="118"/>
      <c r="H715" s="78"/>
      <c r="I715" s="79">
        <v>3.4</v>
      </c>
      <c r="J715" s="77"/>
      <c r="K715" s="79"/>
    </row>
    <row r="716" spans="2:11" x14ac:dyDescent="0.3">
      <c r="B716" s="86">
        <v>46194</v>
      </c>
      <c r="C716" s="76" t="s">
        <v>334</v>
      </c>
      <c r="D716" s="127">
        <v>21</v>
      </c>
      <c r="E716" s="77" t="str">
        <f>+VLOOKUP(D716,'Código Tambos'!B:C,2,0)</f>
        <v>Brivio Eduardo (TBR)</v>
      </c>
      <c r="F716" s="79">
        <v>3821</v>
      </c>
      <c r="G716" s="118"/>
      <c r="H716" s="78"/>
      <c r="I716" s="79">
        <v>2.2000000000000002</v>
      </c>
      <c r="J716" s="77"/>
      <c r="K716" s="79"/>
    </row>
    <row r="717" spans="2:11" x14ac:dyDescent="0.3">
      <c r="B717" s="88">
        <v>46194</v>
      </c>
      <c r="C717" s="33" t="s">
        <v>334</v>
      </c>
      <c r="D717" s="128">
        <v>13</v>
      </c>
      <c r="E717" s="81" t="str">
        <f>+VLOOKUP(D717,'Código Tambos'!B:C,2,0)</f>
        <v>Estancia Aleluya</v>
      </c>
      <c r="F717" s="83">
        <v>7088</v>
      </c>
      <c r="G717" s="119"/>
      <c r="H717" s="82"/>
      <c r="I717" s="83">
        <v>2.6</v>
      </c>
      <c r="J717" s="81"/>
      <c r="K717" s="83"/>
    </row>
    <row r="718" spans="2:11" x14ac:dyDescent="0.3">
      <c r="B718" s="90">
        <v>46195</v>
      </c>
      <c r="C718" s="28" t="s">
        <v>337</v>
      </c>
      <c r="D718" s="136">
        <v>10</v>
      </c>
      <c r="E718" s="91" t="str">
        <f>+VLOOKUP(D718,'Código Tambos'!B:C,2,0)</f>
        <v>Huaca Hue</v>
      </c>
      <c r="F718" s="92">
        <v>7899</v>
      </c>
      <c r="G718" s="115">
        <f>23138+7550+19620</f>
        <v>50308</v>
      </c>
      <c r="H718" s="140">
        <f>+G718-SUM(F718:F725)</f>
        <v>503</v>
      </c>
      <c r="I718" s="92">
        <v>3.1</v>
      </c>
      <c r="J718" s="91"/>
      <c r="K718" s="92"/>
    </row>
    <row r="719" spans="2:11" x14ac:dyDescent="0.3">
      <c r="B719" s="94">
        <v>46195</v>
      </c>
      <c r="C719" s="37" t="s">
        <v>337</v>
      </c>
      <c r="D719" s="125" t="s">
        <v>183</v>
      </c>
      <c r="E719" s="95" t="str">
        <f>+VLOOKUP(D719,'Código Tambos'!B:C,2,0)</f>
        <v>Larregain Hnos (TLR)</v>
      </c>
      <c r="F719" s="96">
        <v>6033</v>
      </c>
      <c r="G719" s="113"/>
      <c r="H719" s="97"/>
      <c r="I719" s="96">
        <v>3.5</v>
      </c>
      <c r="J719" s="95"/>
      <c r="K719" s="96"/>
    </row>
    <row r="720" spans="2:11" x14ac:dyDescent="0.3">
      <c r="B720" s="94">
        <v>46195</v>
      </c>
      <c r="C720" s="37" t="s">
        <v>337</v>
      </c>
      <c r="D720" s="125" t="s">
        <v>184</v>
      </c>
      <c r="E720" s="95" t="str">
        <f>+VLOOKUP(D720,'Código Tambos'!B:C,2,0)</f>
        <v>Larregain Hnos (TLR)</v>
      </c>
      <c r="F720" s="96">
        <v>2107</v>
      </c>
      <c r="G720" s="113"/>
      <c r="H720" s="97"/>
      <c r="I720" s="96">
        <v>3.8</v>
      </c>
      <c r="J720" s="95"/>
      <c r="K720" s="96"/>
    </row>
    <row r="721" spans="2:11" x14ac:dyDescent="0.3">
      <c r="B721" s="94">
        <v>46195</v>
      </c>
      <c r="C721" s="37" t="s">
        <v>337</v>
      </c>
      <c r="D721" s="125">
        <v>12</v>
      </c>
      <c r="E721" s="95" t="str">
        <f>+VLOOKUP(D721,'Código Tambos'!B:C,2,0)</f>
        <v>Santa Isabel</v>
      </c>
      <c r="F721" s="96">
        <v>3172</v>
      </c>
      <c r="G721" s="113"/>
      <c r="H721" s="97"/>
      <c r="I721" s="96">
        <v>4.5999999999999996</v>
      </c>
      <c r="J721" s="95"/>
      <c r="K721" s="96"/>
    </row>
    <row r="722" spans="2:11" x14ac:dyDescent="0.3">
      <c r="B722" s="94">
        <v>46195</v>
      </c>
      <c r="C722" s="37" t="s">
        <v>335</v>
      </c>
      <c r="D722" s="125">
        <v>23</v>
      </c>
      <c r="E722" s="95" t="str">
        <f>+VLOOKUP(D722,'Código Tambos'!B:C,2,0)</f>
        <v>La Victoria</v>
      </c>
      <c r="F722" s="96">
        <v>11551</v>
      </c>
      <c r="G722" s="113"/>
      <c r="H722" s="97"/>
      <c r="I722" s="96">
        <v>3.5</v>
      </c>
      <c r="J722" s="95"/>
      <c r="K722" s="96"/>
    </row>
    <row r="723" spans="2:11" x14ac:dyDescent="0.3">
      <c r="B723" s="94">
        <v>46195</v>
      </c>
      <c r="C723" s="37" t="s">
        <v>335</v>
      </c>
      <c r="D723" s="125">
        <v>21</v>
      </c>
      <c r="E723" s="95" t="str">
        <f>+VLOOKUP(D723,'Código Tambos'!B:C,2,0)</f>
        <v>Brivio Eduardo (TBR)</v>
      </c>
      <c r="F723" s="96">
        <v>3958</v>
      </c>
      <c r="G723" s="113"/>
      <c r="H723" s="97"/>
      <c r="I723" s="96">
        <v>2.2999999999999998</v>
      </c>
      <c r="J723" s="95"/>
      <c r="K723" s="96"/>
    </row>
    <row r="724" spans="2:11" x14ac:dyDescent="0.3">
      <c r="B724" s="94">
        <v>46195</v>
      </c>
      <c r="C724" s="37" t="s">
        <v>335</v>
      </c>
      <c r="D724" s="125">
        <v>13</v>
      </c>
      <c r="E724" s="95" t="str">
        <f>+VLOOKUP(D724,'Código Tambos'!B:C,2,0)</f>
        <v>Estancia Aleluya</v>
      </c>
      <c r="F724" s="96">
        <v>7118</v>
      </c>
      <c r="G724" s="113"/>
      <c r="H724" s="97"/>
      <c r="I724" s="96">
        <v>2.4</v>
      </c>
      <c r="J724" s="95"/>
      <c r="K724" s="96"/>
    </row>
    <row r="725" spans="2:11" x14ac:dyDescent="0.3">
      <c r="B725" s="98">
        <v>46195</v>
      </c>
      <c r="C725" s="30" t="s">
        <v>338</v>
      </c>
      <c r="D725" s="126">
        <v>13</v>
      </c>
      <c r="E725" s="99" t="str">
        <f>+VLOOKUP(D725,'Código Tambos'!B:C,2,0)</f>
        <v>Estancia Aleluya</v>
      </c>
      <c r="F725" s="100">
        <v>7967</v>
      </c>
      <c r="G725" s="116"/>
      <c r="H725" s="101"/>
      <c r="I725" s="100">
        <v>3.3</v>
      </c>
      <c r="J725" s="99"/>
      <c r="K725" s="100"/>
    </row>
    <row r="726" spans="2:11" x14ac:dyDescent="0.3">
      <c r="B726" s="84">
        <v>46196</v>
      </c>
      <c r="C726" s="32" t="s">
        <v>339</v>
      </c>
      <c r="D726" s="135">
        <v>13</v>
      </c>
      <c r="E726" s="72" t="str">
        <f>+VLOOKUP(D726,'Código Tambos'!B:C,2,0)</f>
        <v>Estancia Aleluya</v>
      </c>
      <c r="F726" s="74">
        <v>7615</v>
      </c>
      <c r="G726" s="117">
        <f>7488+22361+19846</f>
        <v>49695</v>
      </c>
      <c r="H726" s="139">
        <f>+G726-SUM(F726:F733)</f>
        <v>-352</v>
      </c>
      <c r="I726" s="74">
        <v>4.3</v>
      </c>
      <c r="J726" s="72"/>
      <c r="K726" s="74"/>
    </row>
    <row r="727" spans="2:11" x14ac:dyDescent="0.3">
      <c r="B727" s="86">
        <v>46196</v>
      </c>
      <c r="C727" s="76" t="s">
        <v>340</v>
      </c>
      <c r="D727" s="127">
        <v>10</v>
      </c>
      <c r="E727" s="77" t="str">
        <f>+VLOOKUP(D727,'Código Tambos'!B:C,2,0)</f>
        <v>Huaca Hue</v>
      </c>
      <c r="F727" s="79">
        <v>8539</v>
      </c>
      <c r="G727" s="118"/>
      <c r="H727" s="78"/>
      <c r="I727" s="79">
        <v>3.1</v>
      </c>
      <c r="J727" s="77"/>
      <c r="K727" s="79"/>
    </row>
    <row r="728" spans="2:11" x14ac:dyDescent="0.3">
      <c r="B728" s="86">
        <v>46196</v>
      </c>
      <c r="C728" s="76" t="s">
        <v>340</v>
      </c>
      <c r="D728" s="127" t="s">
        <v>183</v>
      </c>
      <c r="E728" s="77" t="str">
        <f>+VLOOKUP(D728,'Código Tambos'!B:C,2,0)</f>
        <v>Larregain Hnos (TLR)</v>
      </c>
      <c r="F728" s="79">
        <v>6000</v>
      </c>
      <c r="G728" s="118"/>
      <c r="H728" s="78"/>
      <c r="I728" s="79">
        <v>3.1</v>
      </c>
      <c r="J728" s="77"/>
      <c r="K728" s="79"/>
    </row>
    <row r="729" spans="2:11" x14ac:dyDescent="0.3">
      <c r="B729" s="86">
        <v>46196</v>
      </c>
      <c r="C729" s="76" t="s">
        <v>340</v>
      </c>
      <c r="D729" s="127" t="s">
        <v>184</v>
      </c>
      <c r="E729" s="77" t="str">
        <f>+VLOOKUP(D729,'Código Tambos'!B:C,2,0)</f>
        <v>Larregain Hnos (TLR)</v>
      </c>
      <c r="F729" s="79">
        <v>2160</v>
      </c>
      <c r="G729" s="118"/>
      <c r="H729" s="78"/>
      <c r="I729" s="79">
        <v>4</v>
      </c>
      <c r="J729" s="77"/>
      <c r="K729" s="79"/>
    </row>
    <row r="730" spans="2:11" x14ac:dyDescent="0.3">
      <c r="B730" s="86">
        <v>46196</v>
      </c>
      <c r="C730" s="76" t="s">
        <v>340</v>
      </c>
      <c r="D730" s="127">
        <v>12</v>
      </c>
      <c r="E730" s="77" t="str">
        <f>+VLOOKUP(D730,'Código Tambos'!B:C,2,0)</f>
        <v>Santa Isabel</v>
      </c>
      <c r="F730" s="79">
        <v>3279</v>
      </c>
      <c r="G730" s="118"/>
      <c r="H730" s="78"/>
      <c r="I730" s="79">
        <v>4.9000000000000004</v>
      </c>
      <c r="J730" s="77"/>
      <c r="K730" s="79"/>
    </row>
    <row r="731" spans="2:11" x14ac:dyDescent="0.3">
      <c r="B731" s="86">
        <v>46196</v>
      </c>
      <c r="C731" s="76" t="s">
        <v>336</v>
      </c>
      <c r="D731" s="127">
        <v>23</v>
      </c>
      <c r="E731" s="77" t="str">
        <f>+VLOOKUP(D731,'Código Tambos'!B:C,2,0)</f>
        <v>La Victoria</v>
      </c>
      <c r="F731" s="79">
        <v>11326</v>
      </c>
      <c r="G731" s="118"/>
      <c r="H731" s="78"/>
      <c r="I731" s="79">
        <v>3.5</v>
      </c>
      <c r="J731" s="77"/>
      <c r="K731" s="79"/>
    </row>
    <row r="732" spans="2:11" x14ac:dyDescent="0.3">
      <c r="B732" s="86">
        <v>46196</v>
      </c>
      <c r="C732" s="76" t="s">
        <v>336</v>
      </c>
      <c r="D732" s="127">
        <v>21</v>
      </c>
      <c r="E732" s="77" t="str">
        <f>+VLOOKUP(D732,'Código Tambos'!B:C,2,0)</f>
        <v>Brivio Eduardo (TBR)</v>
      </c>
      <c r="F732" s="79">
        <v>4034</v>
      </c>
      <c r="G732" s="118"/>
      <c r="H732" s="78"/>
      <c r="I732" s="79">
        <v>2.5</v>
      </c>
      <c r="J732" s="77"/>
      <c r="K732" s="79"/>
    </row>
    <row r="733" spans="2:11" x14ac:dyDescent="0.3">
      <c r="B733" s="88">
        <v>46196</v>
      </c>
      <c r="C733" s="33" t="s">
        <v>336</v>
      </c>
      <c r="D733" s="128">
        <v>13</v>
      </c>
      <c r="E733" s="81" t="str">
        <f>+VLOOKUP(D733,'Código Tambos'!B:C,2,0)</f>
        <v>Estancia Aleluya</v>
      </c>
      <c r="F733" s="83">
        <v>7094</v>
      </c>
      <c r="G733" s="119"/>
      <c r="H733" s="82"/>
      <c r="I733" s="83">
        <v>2.5</v>
      </c>
      <c r="J733" s="81"/>
      <c r="K733" s="83"/>
    </row>
    <row r="734" spans="2:11" x14ac:dyDescent="0.3">
      <c r="B734" s="90">
        <v>46197</v>
      </c>
      <c r="C734" s="28" t="s">
        <v>341</v>
      </c>
      <c r="D734" s="136">
        <v>10</v>
      </c>
      <c r="E734" s="91" t="str">
        <f>+VLOOKUP(D734,'Código Tambos'!B:C,2,0)</f>
        <v>Huaca Hue</v>
      </c>
      <c r="F734" s="92">
        <v>8271</v>
      </c>
      <c r="G734" s="115">
        <f>20262+22361+7106</f>
        <v>49729</v>
      </c>
      <c r="H734" s="140">
        <f>+G734-SUM(F734:F741)</f>
        <v>240</v>
      </c>
      <c r="I734" s="92">
        <v>3.2</v>
      </c>
      <c r="J734" s="91"/>
      <c r="K734" s="92"/>
    </row>
    <row r="735" spans="2:11" x14ac:dyDescent="0.3">
      <c r="B735" s="94">
        <v>46197</v>
      </c>
      <c r="C735" s="37" t="s">
        <v>341</v>
      </c>
      <c r="D735" s="125" t="s">
        <v>183</v>
      </c>
      <c r="E735" s="95" t="str">
        <f>+VLOOKUP(D735,'Código Tambos'!B:C,2,0)</f>
        <v>Larregain Hnos (TLR)</v>
      </c>
      <c r="F735" s="96">
        <v>5932</v>
      </c>
      <c r="G735" s="113"/>
      <c r="H735" s="97"/>
      <c r="I735" s="96">
        <v>3.2</v>
      </c>
      <c r="J735" s="95"/>
      <c r="K735" s="96"/>
    </row>
    <row r="736" spans="2:11" x14ac:dyDescent="0.3">
      <c r="B736" s="94">
        <v>46197</v>
      </c>
      <c r="C736" s="37" t="s">
        <v>341</v>
      </c>
      <c r="D736" s="125" t="s">
        <v>184</v>
      </c>
      <c r="E736" s="95" t="str">
        <f>+VLOOKUP(D736,'Código Tambos'!B:C,2,0)</f>
        <v>Larregain Hnos (TLR)</v>
      </c>
      <c r="F736" s="96">
        <v>2133</v>
      </c>
      <c r="G736" s="113"/>
      <c r="H736" s="97"/>
      <c r="I736" s="96">
        <v>4.3</v>
      </c>
      <c r="J736" s="95"/>
      <c r="K736" s="96"/>
    </row>
    <row r="737" spans="2:11" x14ac:dyDescent="0.3">
      <c r="B737" s="94">
        <v>46197</v>
      </c>
      <c r="C737" s="37" t="s">
        <v>341</v>
      </c>
      <c r="D737" s="125">
        <v>12</v>
      </c>
      <c r="E737" s="95" t="str">
        <f>+VLOOKUP(D737,'Código Tambos'!B:C,2,0)</f>
        <v>Santa Isabel</v>
      </c>
      <c r="F737" s="96">
        <v>3493</v>
      </c>
      <c r="G737" s="113"/>
      <c r="H737" s="97"/>
      <c r="I737" s="96">
        <v>4.8</v>
      </c>
      <c r="J737" s="95"/>
      <c r="K737" s="96"/>
    </row>
    <row r="738" spans="2:11" x14ac:dyDescent="0.3">
      <c r="B738" s="94">
        <v>46197</v>
      </c>
      <c r="C738" s="37" t="s">
        <v>344</v>
      </c>
      <c r="D738" s="125">
        <v>23</v>
      </c>
      <c r="E738" s="95" t="str">
        <f>+VLOOKUP(D738,'Código Tambos'!B:C,2,0)</f>
        <v>La Victoria</v>
      </c>
      <c r="F738" s="96">
        <v>11315</v>
      </c>
      <c r="G738" s="113"/>
      <c r="H738" s="97"/>
      <c r="I738" s="96">
        <v>3.4</v>
      </c>
      <c r="J738" s="95"/>
      <c r="K738" s="96"/>
    </row>
    <row r="739" spans="2:11" x14ac:dyDescent="0.3">
      <c r="B739" s="94">
        <v>46197</v>
      </c>
      <c r="C739" s="37" t="s">
        <v>344</v>
      </c>
      <c r="D739" s="125">
        <v>21</v>
      </c>
      <c r="E739" s="95" t="str">
        <f>+VLOOKUP(D739,'Código Tambos'!B:C,2,0)</f>
        <v>Brivio Eduardo (TBR)</v>
      </c>
      <c r="F739" s="96">
        <v>4025</v>
      </c>
      <c r="G739" s="113"/>
      <c r="H739" s="97"/>
      <c r="I739" s="96">
        <v>2.2999999999999998</v>
      </c>
      <c r="J739" s="95"/>
      <c r="K739" s="96"/>
    </row>
    <row r="740" spans="2:11" x14ac:dyDescent="0.3">
      <c r="B740" s="94">
        <v>46197</v>
      </c>
      <c r="C740" s="37" t="s">
        <v>344</v>
      </c>
      <c r="D740" s="125">
        <v>13</v>
      </c>
      <c r="E740" s="95" t="str">
        <f>+VLOOKUP(D740,'Código Tambos'!B:C,2,0)</f>
        <v>Estancia Aleluya</v>
      </c>
      <c r="F740" s="96">
        <v>7115</v>
      </c>
      <c r="G740" s="113"/>
      <c r="H740" s="97"/>
      <c r="I740" s="96">
        <v>2.4</v>
      </c>
      <c r="J740" s="95"/>
      <c r="K740" s="96"/>
    </row>
    <row r="741" spans="2:11" x14ac:dyDescent="0.3">
      <c r="B741" s="98">
        <v>46197</v>
      </c>
      <c r="C741" s="30" t="s">
        <v>342</v>
      </c>
      <c r="D741" s="126">
        <v>13</v>
      </c>
      <c r="E741" s="99" t="str">
        <f>+VLOOKUP(D741,'Código Tambos'!B:C,2,0)</f>
        <v>Estancia Aleluya</v>
      </c>
      <c r="F741" s="100">
        <v>7205</v>
      </c>
      <c r="G741" s="116"/>
      <c r="H741" s="101"/>
      <c r="I741" s="100">
        <v>4.7</v>
      </c>
      <c r="J741" s="99"/>
      <c r="K741" s="100"/>
    </row>
    <row r="742" spans="2:11" x14ac:dyDescent="0.3">
      <c r="B742" s="84">
        <v>46198</v>
      </c>
      <c r="C742" s="32" t="s">
        <v>343</v>
      </c>
      <c r="D742" s="135">
        <v>10</v>
      </c>
      <c r="E742" s="72" t="str">
        <f>+VLOOKUP(D742,'Código Tambos'!B:C,2,0)</f>
        <v>Huaca Hue</v>
      </c>
      <c r="F742" s="74">
        <v>8253</v>
      </c>
      <c r="G742" s="117">
        <f>22936+20334</f>
        <v>43270</v>
      </c>
      <c r="H742" s="139">
        <f>+G742-SUM(F742:F748)</f>
        <v>828</v>
      </c>
      <c r="I742" s="74">
        <v>3.4</v>
      </c>
      <c r="J742" s="72"/>
      <c r="K742" s="74"/>
    </row>
    <row r="743" spans="2:11" x14ac:dyDescent="0.3">
      <c r="B743" s="86">
        <v>46198</v>
      </c>
      <c r="C743" s="76" t="s">
        <v>343</v>
      </c>
      <c r="D743" s="127" t="s">
        <v>183</v>
      </c>
      <c r="E743" s="77" t="str">
        <f>+VLOOKUP(D743,'Código Tambos'!B:C,2,0)</f>
        <v>Larregain Hnos (TLR)</v>
      </c>
      <c r="F743" s="79">
        <v>5908</v>
      </c>
      <c r="G743" s="118"/>
      <c r="H743" s="78"/>
      <c r="I743" s="79">
        <v>3.1</v>
      </c>
      <c r="J743" s="77"/>
      <c r="K743" s="79"/>
    </row>
    <row r="744" spans="2:11" x14ac:dyDescent="0.3">
      <c r="B744" s="86">
        <v>46198</v>
      </c>
      <c r="C744" s="76" t="s">
        <v>343</v>
      </c>
      <c r="D744" s="127" t="s">
        <v>184</v>
      </c>
      <c r="E744" s="77" t="str">
        <f>+VLOOKUP(D744,'Código Tambos'!B:C,2,0)</f>
        <v>Larregain Hnos (TLR)</v>
      </c>
      <c r="F744" s="79">
        <v>2107</v>
      </c>
      <c r="G744" s="118"/>
      <c r="H744" s="78"/>
      <c r="I744" s="79">
        <v>3.9</v>
      </c>
      <c r="J744" s="77"/>
      <c r="K744" s="79"/>
    </row>
    <row r="745" spans="2:11" x14ac:dyDescent="0.3">
      <c r="B745" s="86">
        <v>46198</v>
      </c>
      <c r="C745" s="76" t="s">
        <v>343</v>
      </c>
      <c r="D745" s="127">
        <v>12</v>
      </c>
      <c r="E745" s="77" t="str">
        <f>+VLOOKUP(D745,'Código Tambos'!B:C,2,0)</f>
        <v>Santa Isabel</v>
      </c>
      <c r="F745" s="79">
        <v>3571</v>
      </c>
      <c r="G745" s="118"/>
      <c r="H745" s="78"/>
      <c r="I745" s="79">
        <v>4.5999999999999996</v>
      </c>
      <c r="J745" s="77"/>
      <c r="K745" s="79"/>
    </row>
    <row r="746" spans="2:11" x14ac:dyDescent="0.3">
      <c r="B746" s="86">
        <v>46198</v>
      </c>
      <c r="C746" s="76" t="s">
        <v>345</v>
      </c>
      <c r="D746" s="127">
        <v>23</v>
      </c>
      <c r="E746" s="77" t="str">
        <f>+VLOOKUP(D746,'Código Tambos'!B:C,2,0)</f>
        <v>La Victoria</v>
      </c>
      <c r="F746" s="79">
        <v>11463</v>
      </c>
      <c r="G746" s="118"/>
      <c r="H746" s="78"/>
      <c r="I746" s="79">
        <v>3.3</v>
      </c>
      <c r="J746" s="77"/>
      <c r="K746" s="79"/>
    </row>
    <row r="747" spans="2:11" x14ac:dyDescent="0.3">
      <c r="B747" s="86">
        <v>46198</v>
      </c>
      <c r="C747" s="76" t="s">
        <v>345</v>
      </c>
      <c r="D747" s="127">
        <v>21</v>
      </c>
      <c r="E747" s="77" t="str">
        <f>+VLOOKUP(D747,'Código Tambos'!B:C,2,0)</f>
        <v>Brivio Eduardo (TBR)</v>
      </c>
      <c r="F747" s="79">
        <v>3999</v>
      </c>
      <c r="G747" s="118"/>
      <c r="H747" s="78"/>
      <c r="I747" s="79">
        <v>2.4</v>
      </c>
      <c r="J747" s="77"/>
      <c r="K747" s="79"/>
    </row>
    <row r="748" spans="2:11" x14ac:dyDescent="0.3">
      <c r="B748" s="88">
        <v>46198</v>
      </c>
      <c r="C748" s="33" t="s">
        <v>345</v>
      </c>
      <c r="D748" s="128">
        <v>13</v>
      </c>
      <c r="E748" s="81" t="str">
        <f>+VLOOKUP(D748,'Código Tambos'!B:C,2,0)</f>
        <v>Estancia Aleluya</v>
      </c>
      <c r="F748" s="83">
        <v>7141</v>
      </c>
      <c r="G748" s="82"/>
      <c r="H748" s="82"/>
      <c r="I748" s="81">
        <v>2.2999999999999998</v>
      </c>
      <c r="J748" s="81"/>
      <c r="K748" s="83"/>
    </row>
    <row r="749" spans="2:11" x14ac:dyDescent="0.3">
      <c r="B749" s="22">
        <v>46200</v>
      </c>
      <c r="C749" s="24" t="s">
        <v>349</v>
      </c>
      <c r="D749" s="175">
        <v>13</v>
      </c>
      <c r="E749" s="23" t="str">
        <f>+VLOOKUP(D749,'Código Tambos'!B:C,2,0)</f>
        <v>Estancia Aleluya</v>
      </c>
      <c r="F749" s="142">
        <v>6870</v>
      </c>
      <c r="G749" s="105">
        <v>6866</v>
      </c>
      <c r="H749" s="138">
        <f>+G749-SUM(F749:F749)</f>
        <v>-4</v>
      </c>
      <c r="I749" s="142">
        <v>3.8</v>
      </c>
      <c r="J749" s="23"/>
      <c r="K749" s="23"/>
    </row>
    <row r="750" spans="2:11" x14ac:dyDescent="0.3">
      <c r="B750" s="178">
        <v>46201</v>
      </c>
      <c r="C750" s="37" t="s">
        <v>350</v>
      </c>
      <c r="D750" s="169">
        <v>23</v>
      </c>
      <c r="E750" s="95" t="str">
        <f>+VLOOKUP(D750,'Código Tambos'!B:C,2,0)</f>
        <v>La Victoria</v>
      </c>
      <c r="F750" s="102">
        <v>11824</v>
      </c>
      <c r="G750" s="97">
        <f>21140+20576+7712</f>
        <v>49428</v>
      </c>
      <c r="H750" s="140">
        <f>+G750-SUM(F750:F757)</f>
        <v>491</v>
      </c>
      <c r="I750" s="102">
        <v>3.5</v>
      </c>
      <c r="J750" s="95"/>
      <c r="K750" s="95"/>
    </row>
    <row r="751" spans="2:11" x14ac:dyDescent="0.3">
      <c r="B751" s="178">
        <v>46201</v>
      </c>
      <c r="C751" s="37" t="s">
        <v>350</v>
      </c>
      <c r="D751" s="169">
        <v>21</v>
      </c>
      <c r="E751" s="95" t="str">
        <f>+VLOOKUP(D751,'Código Tambos'!B:C,2,0)</f>
        <v>Brivio Eduardo (TBR)</v>
      </c>
      <c r="F751" s="102">
        <v>2064</v>
      </c>
      <c r="G751" s="97"/>
      <c r="H751" s="143"/>
      <c r="I751" s="102">
        <v>1.9</v>
      </c>
      <c r="J751" s="95"/>
      <c r="K751" s="95"/>
    </row>
    <row r="752" spans="2:11" x14ac:dyDescent="0.3">
      <c r="B752" s="178">
        <v>46201</v>
      </c>
      <c r="C752" s="37" t="s">
        <v>350</v>
      </c>
      <c r="D752" s="169">
        <v>13</v>
      </c>
      <c r="E752" s="95" t="str">
        <f>+VLOOKUP(D752,'Código Tambos'!B:C,2,0)</f>
        <v>Estancia Aleluya</v>
      </c>
      <c r="F752" s="102">
        <v>7104</v>
      </c>
      <c r="G752" s="97"/>
      <c r="H752" s="143"/>
      <c r="I752" s="102">
        <v>2.2000000000000002</v>
      </c>
      <c r="J752" s="95"/>
      <c r="K752" s="95"/>
    </row>
    <row r="753" spans="2:11" x14ac:dyDescent="0.3">
      <c r="B753" s="178">
        <v>46201</v>
      </c>
      <c r="C753" s="37" t="s">
        <v>351</v>
      </c>
      <c r="D753" s="169">
        <v>10</v>
      </c>
      <c r="E753" s="95" t="str">
        <f>+VLOOKUP(D753,'Código Tambos'!B:C,2,0)</f>
        <v>Huaca Hue</v>
      </c>
      <c r="F753" s="102">
        <v>8776</v>
      </c>
      <c r="G753" s="97"/>
      <c r="H753" s="143"/>
      <c r="I753" s="102">
        <v>3.6</v>
      </c>
      <c r="J753" s="95"/>
      <c r="K753" s="95"/>
    </row>
    <row r="754" spans="2:11" x14ac:dyDescent="0.3">
      <c r="B754" s="178">
        <v>46201</v>
      </c>
      <c r="C754" s="37" t="s">
        <v>351</v>
      </c>
      <c r="D754" s="169" t="s">
        <v>183</v>
      </c>
      <c r="E754" s="95" t="str">
        <f>+VLOOKUP(D754,'Código Tambos'!B:C,2,0)</f>
        <v>Larregain Hnos (TLR)</v>
      </c>
      <c r="F754" s="102">
        <v>6118</v>
      </c>
      <c r="G754" s="97"/>
      <c r="H754" s="143"/>
      <c r="I754" s="102">
        <v>3.3</v>
      </c>
      <c r="J754" s="95"/>
      <c r="K754" s="95"/>
    </row>
    <row r="755" spans="2:11" x14ac:dyDescent="0.3">
      <c r="B755" s="178">
        <v>46201</v>
      </c>
      <c r="C755" s="37" t="s">
        <v>351</v>
      </c>
      <c r="D755" s="169" t="s">
        <v>184</v>
      </c>
      <c r="E755" s="95" t="str">
        <f>+VLOOKUP(D755,'Código Tambos'!B:C,2,0)</f>
        <v>Larregain Hnos (TLR)</v>
      </c>
      <c r="F755" s="102">
        <v>2084</v>
      </c>
      <c r="G755" s="97"/>
      <c r="H755" s="143"/>
      <c r="I755" s="102">
        <v>4.0999999999999996</v>
      </c>
      <c r="J755" s="95"/>
      <c r="K755" s="95"/>
    </row>
    <row r="756" spans="2:11" x14ac:dyDescent="0.3">
      <c r="B756" s="178">
        <v>46201</v>
      </c>
      <c r="C756" s="37" t="s">
        <v>351</v>
      </c>
      <c r="D756" s="169">
        <v>12</v>
      </c>
      <c r="E756" s="95" t="str">
        <f>+VLOOKUP(D756,'Código Tambos'!B:C,2,0)</f>
        <v>Santa Isabel</v>
      </c>
      <c r="F756" s="102">
        <v>3103</v>
      </c>
      <c r="G756" s="97"/>
      <c r="H756" s="143"/>
      <c r="I756" s="102">
        <v>4.9000000000000004</v>
      </c>
      <c r="J756" s="95"/>
      <c r="K756" s="95"/>
    </row>
    <row r="757" spans="2:11" x14ac:dyDescent="0.3">
      <c r="B757" s="178">
        <v>46201</v>
      </c>
      <c r="C757" s="30" t="s">
        <v>346</v>
      </c>
      <c r="D757" s="169">
        <v>13</v>
      </c>
      <c r="E757" s="99" t="str">
        <f>+VLOOKUP(D757,'Código Tambos'!B:C,2,0)</f>
        <v>Estancia Aleluya</v>
      </c>
      <c r="F757" s="102">
        <v>7864</v>
      </c>
      <c r="G757" s="101"/>
      <c r="H757" s="179"/>
      <c r="I757" s="102">
        <v>3</v>
      </c>
      <c r="J757" s="99"/>
      <c r="K757" s="99"/>
    </row>
    <row r="758" spans="2:11" x14ac:dyDescent="0.3">
      <c r="B758" s="84">
        <v>46202</v>
      </c>
      <c r="C758" s="32" t="s">
        <v>347</v>
      </c>
      <c r="D758" s="135">
        <v>10</v>
      </c>
      <c r="E758" s="72" t="str">
        <f>+VLOOKUP(D758,'Código Tambos'!B:C,2,0)</f>
        <v>Huaca Hue</v>
      </c>
      <c r="F758" s="74">
        <v>8586</v>
      </c>
      <c r="G758" s="73">
        <f>21132+23430</f>
        <v>44562</v>
      </c>
      <c r="H758" s="139">
        <f>+G758-SUM(F758:F764)</f>
        <v>986</v>
      </c>
      <c r="I758" s="72">
        <v>3.3</v>
      </c>
      <c r="J758" s="72"/>
      <c r="K758" s="74"/>
    </row>
    <row r="759" spans="2:11" x14ac:dyDescent="0.3">
      <c r="B759" s="86">
        <v>46202</v>
      </c>
      <c r="C759" s="76" t="s">
        <v>347</v>
      </c>
      <c r="D759" s="127" t="s">
        <v>183</v>
      </c>
      <c r="E759" s="77" t="str">
        <f>+VLOOKUP(D759,'Código Tambos'!B:C,2,0)</f>
        <v>Larregain Hnos (TLR)</v>
      </c>
      <c r="F759" s="79">
        <v>6371</v>
      </c>
      <c r="G759" s="78"/>
      <c r="H759" s="78"/>
      <c r="I759" s="77">
        <v>3.2</v>
      </c>
      <c r="J759" s="77"/>
      <c r="K759" s="79"/>
    </row>
    <row r="760" spans="2:11" x14ac:dyDescent="0.3">
      <c r="B760" s="86">
        <v>46202</v>
      </c>
      <c r="C760" s="76" t="s">
        <v>347</v>
      </c>
      <c r="D760" s="127" t="s">
        <v>184</v>
      </c>
      <c r="E760" s="77" t="str">
        <f>+VLOOKUP(D760,'Código Tambos'!B:C,2,0)</f>
        <v>Larregain Hnos (TLR)</v>
      </c>
      <c r="F760" s="79">
        <v>2095</v>
      </c>
      <c r="G760" s="78"/>
      <c r="H760" s="78"/>
      <c r="I760" s="77">
        <v>4.0999999999999996</v>
      </c>
      <c r="J760" s="77"/>
      <c r="K760" s="79"/>
    </row>
    <row r="761" spans="2:11" x14ac:dyDescent="0.3">
      <c r="B761" s="86">
        <v>46202</v>
      </c>
      <c r="C761" s="76" t="s">
        <v>347</v>
      </c>
      <c r="D761" s="127">
        <v>12</v>
      </c>
      <c r="E761" s="77" t="str">
        <f>+VLOOKUP(D761,'Código Tambos'!B:C,2,0)</f>
        <v>Santa Isabel</v>
      </c>
      <c r="F761" s="79">
        <v>3493</v>
      </c>
      <c r="G761" s="78"/>
      <c r="H761" s="78"/>
      <c r="I761" s="77">
        <v>4.7</v>
      </c>
      <c r="J761" s="77"/>
      <c r="K761" s="79"/>
    </row>
    <row r="762" spans="2:11" x14ac:dyDescent="0.3">
      <c r="B762" s="86">
        <v>46202</v>
      </c>
      <c r="C762" s="76" t="s">
        <v>348</v>
      </c>
      <c r="D762" s="127">
        <v>23</v>
      </c>
      <c r="E762" s="77" t="str">
        <f>+VLOOKUP(D762,'Código Tambos'!B:C,2,0)</f>
        <v>La Victoria</v>
      </c>
      <c r="F762" s="79">
        <v>11893</v>
      </c>
      <c r="G762" s="78"/>
      <c r="H762" s="78"/>
      <c r="I762" s="77">
        <v>3.5</v>
      </c>
      <c r="J762" s="77"/>
      <c r="K762" s="79"/>
    </row>
    <row r="763" spans="2:11" x14ac:dyDescent="0.3">
      <c r="B763" s="86">
        <v>46202</v>
      </c>
      <c r="C763" s="76" t="s">
        <v>348</v>
      </c>
      <c r="D763" s="127">
        <v>21</v>
      </c>
      <c r="E763" s="77" t="str">
        <f>+VLOOKUP(D763,'Código Tambos'!B:C,2,0)</f>
        <v>Brivio Eduardo (TBR)</v>
      </c>
      <c r="F763" s="79">
        <v>4019</v>
      </c>
      <c r="G763" s="78"/>
      <c r="H763" s="78"/>
      <c r="I763" s="77">
        <v>2.5</v>
      </c>
      <c r="J763" s="77"/>
      <c r="K763" s="79"/>
    </row>
    <row r="764" spans="2:11" x14ac:dyDescent="0.3">
      <c r="B764" s="88">
        <v>46202</v>
      </c>
      <c r="C764" s="33" t="s">
        <v>348</v>
      </c>
      <c r="D764" s="128">
        <v>13</v>
      </c>
      <c r="E764" s="81" t="str">
        <f>+VLOOKUP(D764,'Código Tambos'!B:C,2,0)</f>
        <v>Estancia Aleluya</v>
      </c>
      <c r="F764" s="83">
        <v>7119</v>
      </c>
      <c r="G764" s="82"/>
      <c r="H764" s="82"/>
      <c r="I764" s="81">
        <v>2.5</v>
      </c>
      <c r="J764" s="81"/>
      <c r="K764" s="83"/>
    </row>
    <row r="765" spans="2:11" x14ac:dyDescent="0.3">
      <c r="B765" s="103">
        <v>46202</v>
      </c>
      <c r="C765" s="24" t="s">
        <v>352</v>
      </c>
      <c r="D765" s="129">
        <v>13</v>
      </c>
      <c r="E765" s="23" t="str">
        <f>+VLOOKUP(D765,'Código Tambos'!B:C,2,0)</f>
        <v>Estancia Aleluya</v>
      </c>
      <c r="F765" s="104">
        <v>8196</v>
      </c>
      <c r="G765" s="105">
        <v>7086</v>
      </c>
      <c r="H765" s="138">
        <f>+G765-SUM(F765:F765)</f>
        <v>-1110</v>
      </c>
      <c r="I765" s="23">
        <v>2.5</v>
      </c>
      <c r="J765" s="23"/>
      <c r="K765" s="104"/>
    </row>
    <row r="766" spans="2:11" x14ac:dyDescent="0.3">
      <c r="B766" s="84">
        <v>46203</v>
      </c>
      <c r="C766" s="32" t="s">
        <v>353</v>
      </c>
      <c r="D766" s="135">
        <v>10</v>
      </c>
      <c r="E766" s="72" t="str">
        <f>+VLOOKUP(D766,'Código Tambos'!B:C,2,0)</f>
        <v>Huaca Hue</v>
      </c>
      <c r="F766" s="74">
        <v>8424</v>
      </c>
      <c r="G766" s="73">
        <f>27399+22936+4176</f>
        <v>54511</v>
      </c>
      <c r="H766" s="139">
        <f>+G766-SUM(F766:F774)</f>
        <v>706</v>
      </c>
      <c r="I766" s="72">
        <v>2.5</v>
      </c>
      <c r="J766" s="72"/>
      <c r="K766" s="74"/>
    </row>
    <row r="767" spans="2:11" x14ac:dyDescent="0.3">
      <c r="B767" s="86">
        <v>46203</v>
      </c>
      <c r="C767" s="76" t="s">
        <v>353</v>
      </c>
      <c r="D767" s="127" t="s">
        <v>183</v>
      </c>
      <c r="E767" s="77" t="str">
        <f>+VLOOKUP(D767,'Código Tambos'!B:C,2,0)</f>
        <v>Larregain Hnos (TLR)</v>
      </c>
      <c r="F767" s="79">
        <v>6221</v>
      </c>
      <c r="G767" s="78"/>
      <c r="H767" s="141"/>
      <c r="I767" s="77">
        <v>3.1</v>
      </c>
      <c r="J767" s="77"/>
      <c r="K767" s="79"/>
    </row>
    <row r="768" spans="2:11" x14ac:dyDescent="0.3">
      <c r="B768" s="86">
        <v>46203</v>
      </c>
      <c r="C768" s="76" t="s">
        <v>353</v>
      </c>
      <c r="D768" s="127" t="s">
        <v>184</v>
      </c>
      <c r="E768" s="77" t="str">
        <f>+VLOOKUP(D768,'Código Tambos'!B:C,2,0)</f>
        <v>Larregain Hnos (TLR)</v>
      </c>
      <c r="F768" s="79">
        <v>2000</v>
      </c>
      <c r="G768" s="78"/>
      <c r="H768" s="141"/>
      <c r="I768" s="77">
        <v>3.7</v>
      </c>
      <c r="J768" s="77"/>
      <c r="K768" s="79"/>
    </row>
    <row r="769" spans="2:11" x14ac:dyDescent="0.3">
      <c r="B769" s="86">
        <v>46203</v>
      </c>
      <c r="C769" s="76" t="s">
        <v>353</v>
      </c>
      <c r="D769" s="127">
        <v>12</v>
      </c>
      <c r="E769" s="77" t="str">
        <f>+VLOOKUP(D769,'Código Tambos'!B:C,2,0)</f>
        <v>Santa Isabel</v>
      </c>
      <c r="F769" s="79">
        <v>2528</v>
      </c>
      <c r="G769" s="78"/>
      <c r="H769" s="141"/>
      <c r="I769" s="77">
        <v>2.4</v>
      </c>
      <c r="J769" s="77"/>
      <c r="K769" s="79"/>
    </row>
    <row r="770" spans="2:11" x14ac:dyDescent="0.3">
      <c r="B770" s="86">
        <v>46203</v>
      </c>
      <c r="C770" s="76" t="s">
        <v>354</v>
      </c>
      <c r="D770" s="127">
        <v>23</v>
      </c>
      <c r="E770" s="77" t="str">
        <f>+VLOOKUP(D770,'Código Tambos'!B:C,2,0)</f>
        <v>La Victoria</v>
      </c>
      <c r="F770" s="79">
        <v>11607</v>
      </c>
      <c r="G770" s="78"/>
      <c r="H770" s="141"/>
      <c r="I770" s="77">
        <v>3.5</v>
      </c>
      <c r="J770" s="77"/>
      <c r="K770" s="79"/>
    </row>
    <row r="771" spans="2:11" x14ac:dyDescent="0.3">
      <c r="B771" s="86">
        <v>46203</v>
      </c>
      <c r="C771" s="76" t="s">
        <v>354</v>
      </c>
      <c r="D771" s="127">
        <v>21</v>
      </c>
      <c r="E771" s="77" t="str">
        <f>+VLOOKUP(D771,'Código Tambos'!B:C,2,0)</f>
        <v>Brivio Eduardo (TBR)</v>
      </c>
      <c r="F771" s="79">
        <v>4054</v>
      </c>
      <c r="G771" s="78"/>
      <c r="H771" s="141"/>
      <c r="I771" s="77">
        <v>2.2999999999999998</v>
      </c>
      <c r="J771" s="77"/>
      <c r="K771" s="79"/>
    </row>
    <row r="772" spans="2:11" x14ac:dyDescent="0.3">
      <c r="B772" s="86">
        <v>46203</v>
      </c>
      <c r="C772" s="76" t="s">
        <v>354</v>
      </c>
      <c r="D772" s="127">
        <v>13</v>
      </c>
      <c r="E772" s="77" t="str">
        <f>+VLOOKUP(D772,'Código Tambos'!B:C,2,0)</f>
        <v>Estancia Aleluya</v>
      </c>
      <c r="F772" s="79">
        <v>7140</v>
      </c>
      <c r="G772" s="78"/>
      <c r="H772" s="78"/>
      <c r="I772" s="77">
        <v>2.4</v>
      </c>
      <c r="J772" s="77"/>
      <c r="K772" s="79"/>
    </row>
    <row r="773" spans="2:11" x14ac:dyDescent="0.3">
      <c r="B773" s="88">
        <v>46203</v>
      </c>
      <c r="C773" s="33" t="s">
        <v>355</v>
      </c>
      <c r="D773" s="128">
        <v>13</v>
      </c>
      <c r="E773" s="81" t="str">
        <f>+VLOOKUP(D773,'Código Tambos'!B:C,2,0)</f>
        <v>Estancia Aleluya</v>
      </c>
      <c r="F773" s="83">
        <v>7655</v>
      </c>
      <c r="G773" s="82"/>
      <c r="H773" s="82"/>
      <c r="I773" s="81">
        <v>2.4</v>
      </c>
      <c r="J773" s="81"/>
      <c r="K773" s="83"/>
    </row>
    <row r="774" spans="2:11" x14ac:dyDescent="0.3">
      <c r="B774" s="88">
        <v>46203</v>
      </c>
      <c r="C774" s="33" t="s">
        <v>356</v>
      </c>
      <c r="D774" s="128">
        <v>10</v>
      </c>
      <c r="E774" s="81" t="str">
        <f>+VLOOKUP(D774,'Código Tambos'!B:C,2,0)</f>
        <v>Huaca Hue</v>
      </c>
      <c r="F774" s="83">
        <v>4176</v>
      </c>
      <c r="G774" s="82"/>
      <c r="H774" s="82"/>
      <c r="I774" s="81">
        <v>2.9</v>
      </c>
      <c r="J774" s="81"/>
      <c r="K774" s="83"/>
    </row>
    <row r="775" spans="2:11" x14ac:dyDescent="0.3">
      <c r="B775" s="94">
        <v>46204</v>
      </c>
      <c r="C775" s="37" t="s">
        <v>357</v>
      </c>
      <c r="D775" s="125">
        <v>10</v>
      </c>
      <c r="E775" s="95" t="str">
        <f>+VLOOKUP(D775,'Código Tambos'!B:C,2,0)</f>
        <v>Huaca Hue</v>
      </c>
      <c r="F775" s="96">
        <v>4039</v>
      </c>
      <c r="G775" s="97">
        <v>3964</v>
      </c>
      <c r="H775" s="97">
        <f>+SUM(G775:G783)-SUM(F775:F783)</f>
        <v>108</v>
      </c>
      <c r="I775" s="95">
        <v>2.9</v>
      </c>
      <c r="J775" s="95"/>
      <c r="K775" s="96"/>
    </row>
    <row r="776" spans="2:11" x14ac:dyDescent="0.3">
      <c r="B776" s="94">
        <v>46204</v>
      </c>
      <c r="C776" s="37" t="s">
        <v>358</v>
      </c>
      <c r="D776" s="125">
        <v>23</v>
      </c>
      <c r="E776" s="95" t="str">
        <f>+VLOOKUP(D776,'Código Tambos'!B:C,2,0)</f>
        <v>La Victoria</v>
      </c>
      <c r="F776" s="96">
        <v>11891</v>
      </c>
      <c r="G776" s="97">
        <f>27326-4176</f>
        <v>23150</v>
      </c>
      <c r="H776" s="97"/>
      <c r="I776" s="95">
        <v>3.6</v>
      </c>
      <c r="J776" s="95"/>
      <c r="K776" s="96"/>
    </row>
    <row r="777" spans="2:11" x14ac:dyDescent="0.3">
      <c r="B777" s="94">
        <v>46204</v>
      </c>
      <c r="C777" s="37" t="s">
        <v>358</v>
      </c>
      <c r="D777" s="125">
        <v>21</v>
      </c>
      <c r="E777" s="95" t="str">
        <f>+VLOOKUP(D777,'Código Tambos'!B:C,2,0)</f>
        <v>Brivio Eduardo (TBR)</v>
      </c>
      <c r="F777" s="96">
        <v>4054</v>
      </c>
      <c r="G777" s="97"/>
      <c r="H777" s="97"/>
      <c r="I777" s="95">
        <v>2.2999999999999998</v>
      </c>
      <c r="J777" s="95"/>
      <c r="K777" s="96"/>
    </row>
    <row r="778" spans="2:11" x14ac:dyDescent="0.3">
      <c r="B778" s="94">
        <v>46204</v>
      </c>
      <c r="C778" s="37" t="s">
        <v>358</v>
      </c>
      <c r="D778" s="125">
        <v>13</v>
      </c>
      <c r="E778" s="95" t="str">
        <f>+VLOOKUP(D778,'Código Tambos'!B:C,2,0)</f>
        <v>Estancia Aleluya</v>
      </c>
      <c r="F778" s="96">
        <v>7142</v>
      </c>
      <c r="G778" s="97"/>
      <c r="H778" s="97"/>
      <c r="I778" s="95">
        <v>2.5</v>
      </c>
      <c r="J778" s="95"/>
      <c r="K778" s="96"/>
    </row>
    <row r="779" spans="2:11" x14ac:dyDescent="0.3">
      <c r="B779" s="94">
        <v>46204</v>
      </c>
      <c r="C779" s="37" t="s">
        <v>359</v>
      </c>
      <c r="D779" s="125">
        <v>10</v>
      </c>
      <c r="E779" s="95" t="str">
        <f>+VLOOKUP(D779,'Código Tambos'!B:C,2,0)</f>
        <v>Huaca Hue</v>
      </c>
      <c r="F779" s="96">
        <v>4047</v>
      </c>
      <c r="G779" s="97">
        <v>17274</v>
      </c>
      <c r="H779" s="97"/>
      <c r="I779" s="95">
        <v>2.9</v>
      </c>
      <c r="J779" s="95"/>
      <c r="K779" s="96"/>
    </row>
    <row r="780" spans="2:11" x14ac:dyDescent="0.3">
      <c r="B780" s="94">
        <v>46204</v>
      </c>
      <c r="C780" s="37" t="s">
        <v>359</v>
      </c>
      <c r="D780" s="125">
        <v>12</v>
      </c>
      <c r="E780" s="95" t="str">
        <f>+VLOOKUP(D780,'Código Tambos'!B:C,2,0)</f>
        <v>Santa Isabel</v>
      </c>
      <c r="F780" s="96">
        <v>4314</v>
      </c>
      <c r="G780" s="97"/>
      <c r="H780" s="97"/>
      <c r="I780" s="95">
        <v>3.2</v>
      </c>
      <c r="J780" s="95"/>
      <c r="K780" s="96"/>
    </row>
    <row r="781" spans="2:11" x14ac:dyDescent="0.3">
      <c r="B781" s="94">
        <v>46204</v>
      </c>
      <c r="C781" s="37" t="s">
        <v>359</v>
      </c>
      <c r="D781" s="125" t="s">
        <v>184</v>
      </c>
      <c r="E781" s="95" t="str">
        <f>+VLOOKUP(D781,'Código Tambos'!B:C,2,0)</f>
        <v>Larregain Hnos (TLR)</v>
      </c>
      <c r="F781" s="96">
        <v>2008</v>
      </c>
      <c r="G781" s="97"/>
      <c r="H781" s="97"/>
      <c r="I781" s="95">
        <v>2.9</v>
      </c>
      <c r="J781" s="95"/>
      <c r="K781" s="96"/>
    </row>
    <row r="782" spans="2:11" x14ac:dyDescent="0.3">
      <c r="B782" s="94">
        <v>46204</v>
      </c>
      <c r="C782" s="37" t="s">
        <v>359</v>
      </c>
      <c r="D782" s="125" t="s">
        <v>183</v>
      </c>
      <c r="E782" s="95" t="str">
        <f>+VLOOKUP(D782,'Código Tambos'!B:C,2,0)</f>
        <v>Larregain Hnos (TLR)</v>
      </c>
      <c r="F782" s="96">
        <v>6058</v>
      </c>
      <c r="G782" s="97"/>
      <c r="H782" s="97"/>
      <c r="I782" s="95">
        <v>3.2</v>
      </c>
      <c r="J782" s="95"/>
      <c r="K782" s="96"/>
    </row>
    <row r="783" spans="2:11" x14ac:dyDescent="0.3">
      <c r="B783" s="98">
        <v>46204</v>
      </c>
      <c r="C783" s="30" t="s">
        <v>360</v>
      </c>
      <c r="D783" s="126">
        <v>13</v>
      </c>
      <c r="E783" s="99" t="str">
        <f>+VLOOKUP(D783,'Código Tambos'!B:C,2,0)</f>
        <v>Estancia Aleluya</v>
      </c>
      <c r="F783" s="100">
        <v>7967</v>
      </c>
      <c r="G783" s="101">
        <v>7240</v>
      </c>
      <c r="H783" s="101"/>
      <c r="I783" s="99">
        <v>3</v>
      </c>
      <c r="J783" s="99"/>
      <c r="K783" s="100"/>
    </row>
    <row r="784" spans="2:11" x14ac:dyDescent="0.3">
      <c r="B784" s="86">
        <v>46205</v>
      </c>
      <c r="C784" s="76" t="s">
        <v>361</v>
      </c>
      <c r="D784" s="127">
        <v>10</v>
      </c>
      <c r="E784" s="77" t="str">
        <f>+VLOOKUP(D784,'Código Tambos'!B:C,2,0)</f>
        <v>Huaca Hue</v>
      </c>
      <c r="F784" s="79">
        <v>4037</v>
      </c>
      <c r="G784" s="78">
        <v>16494</v>
      </c>
      <c r="H784" s="78">
        <f>+SUM(G784:G790)-SUM(F784:F790)</f>
        <v>1207</v>
      </c>
      <c r="I784" s="77">
        <v>2.2999999999999998</v>
      </c>
      <c r="J784" s="77"/>
      <c r="K784" s="79"/>
    </row>
    <row r="785" spans="2:11" x14ac:dyDescent="0.3">
      <c r="B785" s="86">
        <v>46205</v>
      </c>
      <c r="C785" s="76" t="s">
        <v>361</v>
      </c>
      <c r="D785" s="127" t="s">
        <v>183</v>
      </c>
      <c r="E785" s="77" t="str">
        <f>+VLOOKUP(D785,'Código Tambos'!B:C,2,0)</f>
        <v>Larregain Hnos (TLR)</v>
      </c>
      <c r="F785" s="79">
        <v>6105</v>
      </c>
      <c r="G785" s="78"/>
      <c r="H785" s="78"/>
      <c r="I785" s="77">
        <v>2.9</v>
      </c>
      <c r="J785" s="77"/>
      <c r="K785" s="79"/>
    </row>
    <row r="786" spans="2:11" x14ac:dyDescent="0.3">
      <c r="B786" s="86">
        <v>46205</v>
      </c>
      <c r="C786" s="76" t="s">
        <v>361</v>
      </c>
      <c r="D786" s="127" t="s">
        <v>184</v>
      </c>
      <c r="E786" s="77" t="str">
        <f>+VLOOKUP(D786,'Código Tambos'!B:C,2,0)</f>
        <v>Larregain Hnos (TLR)</v>
      </c>
      <c r="F786" s="79">
        <v>1942</v>
      </c>
      <c r="G786" s="78"/>
      <c r="H786" s="78"/>
      <c r="I786" s="77">
        <v>3.1</v>
      </c>
      <c r="J786" s="77"/>
      <c r="K786" s="79"/>
    </row>
    <row r="787" spans="2:11" x14ac:dyDescent="0.3">
      <c r="B787" s="86">
        <v>46205</v>
      </c>
      <c r="C787" s="76" t="s">
        <v>361</v>
      </c>
      <c r="D787" s="127">
        <v>12</v>
      </c>
      <c r="E787" s="77" t="str">
        <f>+VLOOKUP(D787,'Código Tambos'!B:C,2,0)</f>
        <v>Santa Isabel</v>
      </c>
      <c r="F787" s="79">
        <v>3257</v>
      </c>
      <c r="G787" s="78"/>
      <c r="H787" s="78"/>
      <c r="I787" s="77">
        <v>4.5999999999999996</v>
      </c>
      <c r="J787" s="77"/>
      <c r="K787" s="79"/>
    </row>
    <row r="788" spans="2:11" x14ac:dyDescent="0.3">
      <c r="B788" s="86">
        <v>46205</v>
      </c>
      <c r="C788" s="76" t="s">
        <v>362</v>
      </c>
      <c r="D788" s="127">
        <v>23</v>
      </c>
      <c r="E788" s="77" t="str">
        <f>+VLOOKUP(D788,'Código Tambos'!B:C,2,0)</f>
        <v>La Victoria</v>
      </c>
      <c r="F788" s="79">
        <v>11537</v>
      </c>
      <c r="G788" s="78">
        <v>22804</v>
      </c>
      <c r="H788" s="78"/>
      <c r="I788" s="77">
        <v>3.3</v>
      </c>
      <c r="J788" s="77"/>
      <c r="K788" s="79"/>
    </row>
    <row r="789" spans="2:11" x14ac:dyDescent="0.3">
      <c r="B789" s="86">
        <v>46205</v>
      </c>
      <c r="C789" s="76" t="s">
        <v>362</v>
      </c>
      <c r="D789" s="127">
        <v>21</v>
      </c>
      <c r="E789" s="77" t="str">
        <f>+VLOOKUP(D789,'Código Tambos'!B:C,2,0)</f>
        <v>Brivio Eduardo (TBR)</v>
      </c>
      <c r="F789" s="79">
        <v>4072</v>
      </c>
      <c r="G789" s="78"/>
      <c r="H789" s="78"/>
      <c r="I789" s="77">
        <v>2.2000000000000002</v>
      </c>
      <c r="J789" s="77"/>
      <c r="K789" s="79"/>
    </row>
    <row r="790" spans="2:11" x14ac:dyDescent="0.3">
      <c r="B790" s="88">
        <v>46205</v>
      </c>
      <c r="C790" s="33" t="s">
        <v>362</v>
      </c>
      <c r="D790" s="128">
        <v>13</v>
      </c>
      <c r="E790" s="81" t="str">
        <f>+VLOOKUP(D790,'Código Tambos'!B:C,2,0)</f>
        <v>Estancia Aleluya</v>
      </c>
      <c r="F790" s="83">
        <v>7141</v>
      </c>
      <c r="G790" s="82"/>
      <c r="H790" s="82"/>
      <c r="I790" s="81">
        <v>2.4</v>
      </c>
      <c r="J790" s="81"/>
      <c r="K790" s="83"/>
    </row>
    <row r="791" spans="2:11" x14ac:dyDescent="0.3">
      <c r="B791" s="94">
        <v>46207</v>
      </c>
      <c r="C791" s="37" t="s">
        <v>363</v>
      </c>
      <c r="D791" s="125">
        <v>13</v>
      </c>
      <c r="E791" s="95" t="str">
        <f>+VLOOKUP(D791,'Código Tambos'!B:C,2,0)</f>
        <v>Estancia Aleluya</v>
      </c>
      <c r="F791" s="96">
        <v>6985</v>
      </c>
      <c r="G791" s="97">
        <v>25280</v>
      </c>
      <c r="H791" s="97">
        <f>+SUM(G791:G798)-SUM(F791:F798)</f>
        <v>295</v>
      </c>
      <c r="I791" s="95">
        <v>2.4</v>
      </c>
      <c r="J791" s="95"/>
      <c r="K791" s="96"/>
    </row>
    <row r="792" spans="2:11" x14ac:dyDescent="0.3">
      <c r="B792" s="94">
        <v>46208</v>
      </c>
      <c r="C792" s="37" t="s">
        <v>365</v>
      </c>
      <c r="D792" s="125">
        <v>10</v>
      </c>
      <c r="E792" s="95" t="str">
        <f>+VLOOKUP(D792,'Código Tambos'!B:C,2,0)</f>
        <v>Huaca Hue</v>
      </c>
      <c r="F792" s="96">
        <v>8957</v>
      </c>
      <c r="G792" s="97"/>
      <c r="H792" s="97"/>
      <c r="I792" s="95">
        <v>2.9</v>
      </c>
      <c r="J792" s="95"/>
      <c r="K792" s="96"/>
    </row>
    <row r="793" spans="2:11" x14ac:dyDescent="0.3">
      <c r="B793" s="94">
        <v>46208</v>
      </c>
      <c r="C793" s="37" t="s">
        <v>365</v>
      </c>
      <c r="D793" s="125" t="s">
        <v>183</v>
      </c>
      <c r="E793" s="95" t="str">
        <f>+VLOOKUP(D793,'Código Tambos'!B:C,2,0)</f>
        <v>Larregain Hnos (TLR)</v>
      </c>
      <c r="F793" s="96">
        <v>6105</v>
      </c>
      <c r="G793" s="97"/>
      <c r="H793" s="97"/>
      <c r="I793" s="95">
        <v>3.1</v>
      </c>
      <c r="J793" s="95"/>
      <c r="K793" s="96"/>
    </row>
    <row r="794" spans="2:11" x14ac:dyDescent="0.3">
      <c r="B794" s="94">
        <v>46208</v>
      </c>
      <c r="C794" s="37" t="s">
        <v>365</v>
      </c>
      <c r="D794" s="125">
        <v>12</v>
      </c>
      <c r="E794" s="95" t="str">
        <f>+VLOOKUP(D794,'Código Tambos'!B:C,2,0)</f>
        <v>Santa Isabel</v>
      </c>
      <c r="F794" s="96">
        <v>3000</v>
      </c>
      <c r="G794" s="97"/>
      <c r="H794" s="97"/>
      <c r="I794" s="95">
        <v>3.1</v>
      </c>
      <c r="J794" s="95"/>
      <c r="K794" s="96"/>
    </row>
    <row r="795" spans="2:11" x14ac:dyDescent="0.3">
      <c r="B795" s="94">
        <v>46208</v>
      </c>
      <c r="C795" s="37" t="s">
        <v>364</v>
      </c>
      <c r="D795" s="125">
        <v>23</v>
      </c>
      <c r="E795" s="95" t="str">
        <f>+VLOOKUP(D795,'Código Tambos'!B:C,2,0)</f>
        <v>La Victoria</v>
      </c>
      <c r="F795" s="96">
        <v>11210</v>
      </c>
      <c r="G795" s="97">
        <v>20872</v>
      </c>
      <c r="H795" s="97"/>
      <c r="I795" s="95">
        <v>3.6</v>
      </c>
      <c r="J795" s="95"/>
      <c r="K795" s="96"/>
    </row>
    <row r="796" spans="2:11" x14ac:dyDescent="0.3">
      <c r="B796" s="94">
        <v>46208</v>
      </c>
      <c r="C796" s="37" t="s">
        <v>364</v>
      </c>
      <c r="D796" s="125">
        <v>21</v>
      </c>
      <c r="E796" s="95" t="str">
        <f>+VLOOKUP(D796,'Código Tambos'!B:C,2,0)</f>
        <v>Brivio Eduardo (TBR)</v>
      </c>
      <c r="F796" s="96">
        <v>2294</v>
      </c>
      <c r="G796" s="97"/>
      <c r="H796" s="97"/>
      <c r="I796" s="95">
        <v>2.1</v>
      </c>
      <c r="J796" s="95"/>
      <c r="K796" s="96"/>
    </row>
    <row r="797" spans="2:11" x14ac:dyDescent="0.3">
      <c r="B797" s="98">
        <v>46208</v>
      </c>
      <c r="C797" s="30" t="s">
        <v>364</v>
      </c>
      <c r="D797" s="126">
        <v>13</v>
      </c>
      <c r="E797" s="99" t="str">
        <f>+VLOOKUP(D797,'Código Tambos'!B:C,2,0)</f>
        <v>Estancia Aleluya</v>
      </c>
      <c r="F797" s="100">
        <v>7143</v>
      </c>
      <c r="G797" s="101"/>
      <c r="H797" s="101"/>
      <c r="I797" s="99">
        <v>3</v>
      </c>
      <c r="J797" s="99"/>
      <c r="K797" s="100"/>
    </row>
    <row r="798" spans="2:11" x14ac:dyDescent="0.3">
      <c r="B798" s="98">
        <v>46208</v>
      </c>
      <c r="C798" s="30" t="s">
        <v>412</v>
      </c>
      <c r="D798" s="126">
        <v>13</v>
      </c>
      <c r="E798" s="99" t="str">
        <f>+VLOOKUP(D798,'Código Tambos'!B:C,2,0)</f>
        <v>Estancia Aleluya</v>
      </c>
      <c r="F798" s="100">
        <v>8267</v>
      </c>
      <c r="G798" s="101">
        <v>8104</v>
      </c>
      <c r="H798" s="101"/>
      <c r="I798" s="99">
        <v>3</v>
      </c>
      <c r="J798" s="99"/>
      <c r="K798" s="100"/>
    </row>
    <row r="799" spans="2:11" x14ac:dyDescent="0.3">
      <c r="B799" s="86">
        <v>46209</v>
      </c>
      <c r="C799" s="76" t="s">
        <v>366</v>
      </c>
      <c r="D799" s="127">
        <v>10</v>
      </c>
      <c r="E799" s="77" t="str">
        <f>+VLOOKUP(D799,'Código Tambos'!B:C,2,0)</f>
        <v>Huaca Hue</v>
      </c>
      <c r="F799" s="79">
        <v>8348</v>
      </c>
      <c r="G799" s="78">
        <v>21464</v>
      </c>
      <c r="H799" s="78">
        <f>+SUM(G799:G806)-SUM(F799:F806)</f>
        <v>314</v>
      </c>
      <c r="I799" s="77">
        <v>2.9</v>
      </c>
      <c r="J799" s="77"/>
      <c r="K799" s="79"/>
    </row>
    <row r="800" spans="2:11" x14ac:dyDescent="0.3">
      <c r="B800" s="86">
        <v>46209</v>
      </c>
      <c r="C800" s="76" t="s">
        <v>366</v>
      </c>
      <c r="D800" s="127">
        <v>12</v>
      </c>
      <c r="E800" s="77" t="str">
        <f>+VLOOKUP(D800,'Código Tambos'!B:C,2,0)</f>
        <v>Santa Isabel</v>
      </c>
      <c r="F800" s="79">
        <v>3207</v>
      </c>
      <c r="G800" s="78"/>
      <c r="H800" s="78"/>
      <c r="I800" s="77">
        <v>3.1</v>
      </c>
      <c r="J800" s="77"/>
      <c r="K800" s="79"/>
    </row>
    <row r="801" spans="2:11" x14ac:dyDescent="0.3">
      <c r="B801" s="86">
        <v>46209</v>
      </c>
      <c r="C801" s="76" t="s">
        <v>366</v>
      </c>
      <c r="D801" s="127" t="s">
        <v>183</v>
      </c>
      <c r="E801" s="77" t="str">
        <f>+VLOOKUP(D801,'Código Tambos'!B:C,2,0)</f>
        <v>Larregain Hnos (TLR)</v>
      </c>
      <c r="F801" s="79">
        <v>6020</v>
      </c>
      <c r="G801" s="78"/>
      <c r="H801" s="78"/>
      <c r="I801" s="77">
        <v>3.1</v>
      </c>
      <c r="J801" s="77"/>
      <c r="K801" s="79"/>
    </row>
    <row r="802" spans="2:11" x14ac:dyDescent="0.3">
      <c r="B802" s="86">
        <v>46209</v>
      </c>
      <c r="C802" s="76" t="s">
        <v>366</v>
      </c>
      <c r="D802" s="127" t="s">
        <v>184</v>
      </c>
      <c r="E802" s="77" t="str">
        <f>+VLOOKUP(D802,'Código Tambos'!B:C,2,0)</f>
        <v>Larregain Hnos (TLR)</v>
      </c>
      <c r="F802" s="79">
        <v>3811</v>
      </c>
      <c r="G802" s="78"/>
      <c r="H802" s="78"/>
      <c r="I802" s="77">
        <v>3</v>
      </c>
      <c r="J802" s="77"/>
      <c r="K802" s="79"/>
    </row>
    <row r="803" spans="2:11" x14ac:dyDescent="0.3">
      <c r="B803" s="86">
        <v>46209</v>
      </c>
      <c r="C803" s="76" t="s">
        <v>367</v>
      </c>
      <c r="D803" s="127">
        <v>23</v>
      </c>
      <c r="E803" s="77" t="str">
        <f>+VLOOKUP(D803,'Código Tambos'!B:C,2,0)</f>
        <v>La Victoria</v>
      </c>
      <c r="F803" s="79">
        <v>11258</v>
      </c>
      <c r="G803" s="78">
        <v>22932</v>
      </c>
      <c r="H803" s="78"/>
      <c r="I803" s="77">
        <v>3.4</v>
      </c>
      <c r="J803" s="77"/>
      <c r="K803" s="79"/>
    </row>
    <row r="804" spans="2:11" x14ac:dyDescent="0.3">
      <c r="B804" s="86">
        <v>46209</v>
      </c>
      <c r="C804" s="76" t="s">
        <v>367</v>
      </c>
      <c r="D804" s="127">
        <v>21</v>
      </c>
      <c r="E804" s="77" t="str">
        <f>+VLOOKUP(D804,'Código Tambos'!B:C,2,0)</f>
        <v>Brivio Eduardo (TBR)</v>
      </c>
      <c r="F804" s="79">
        <v>4301</v>
      </c>
      <c r="G804" s="78"/>
      <c r="H804" s="78"/>
      <c r="I804" s="77">
        <v>2.5</v>
      </c>
      <c r="J804" s="77"/>
      <c r="K804" s="79"/>
    </row>
    <row r="805" spans="2:11" x14ac:dyDescent="0.3">
      <c r="B805" s="86">
        <v>46209</v>
      </c>
      <c r="C805" s="76" t="s">
        <v>367</v>
      </c>
      <c r="D805" s="127">
        <v>13</v>
      </c>
      <c r="E805" s="77" t="str">
        <f>+VLOOKUP(D805,'Código Tambos'!B:C,2,0)</f>
        <v>Estancia Aleluya</v>
      </c>
      <c r="F805" s="79">
        <v>7137</v>
      </c>
      <c r="G805" s="78"/>
      <c r="H805" s="78"/>
      <c r="I805" s="77">
        <v>2.2999999999999998</v>
      </c>
      <c r="J805" s="77"/>
      <c r="K805" s="79"/>
    </row>
    <row r="806" spans="2:11" x14ac:dyDescent="0.3">
      <c r="B806" s="88">
        <v>46209</v>
      </c>
      <c r="C806" s="33" t="s">
        <v>368</v>
      </c>
      <c r="D806" s="128">
        <v>13</v>
      </c>
      <c r="E806" s="81" t="str">
        <f>+VLOOKUP(D806,'Código Tambos'!B:C,2,0)</f>
        <v>Estancia Aleluya</v>
      </c>
      <c r="F806" s="83">
        <v>8571</v>
      </c>
      <c r="G806" s="82">
        <v>8571</v>
      </c>
      <c r="H806" s="82"/>
      <c r="I806" s="81">
        <v>3.9</v>
      </c>
      <c r="J806" s="81"/>
      <c r="K806" s="83"/>
    </row>
    <row r="807" spans="2:11" x14ac:dyDescent="0.3">
      <c r="B807" s="94">
        <v>46180</v>
      </c>
      <c r="C807" s="37" t="s">
        <v>369</v>
      </c>
      <c r="D807" s="125">
        <v>23</v>
      </c>
      <c r="E807" s="95" t="str">
        <f>+VLOOKUP(D807,'Código Tambos'!B:C,2,0)</f>
        <v>La Victoria</v>
      </c>
      <c r="F807" s="96">
        <v>11345</v>
      </c>
      <c r="G807" s="97">
        <v>23014</v>
      </c>
      <c r="H807" s="97">
        <f>+SUM(G807:G815)-SUM(F807:F815)</f>
        <v>11768</v>
      </c>
      <c r="I807" s="95">
        <v>3.5</v>
      </c>
      <c r="J807" s="95"/>
      <c r="K807" s="96"/>
    </row>
    <row r="808" spans="2:11" x14ac:dyDescent="0.3">
      <c r="B808" s="94">
        <v>46210</v>
      </c>
      <c r="C808" s="37" t="s">
        <v>369</v>
      </c>
      <c r="D808" s="125">
        <v>21</v>
      </c>
      <c r="E808" s="95" t="str">
        <f>+VLOOKUP(D808,'Código Tambos'!B:C,2,0)</f>
        <v>Brivio Eduardo (TBR)</v>
      </c>
      <c r="F808" s="96">
        <v>4456</v>
      </c>
      <c r="G808" s="97">
        <f>18894+23014</f>
        <v>41908</v>
      </c>
      <c r="H808" s="78">
        <f>+SUM(G808:G816)-SUM(F808:F816)</f>
        <v>-41</v>
      </c>
      <c r="I808" s="95">
        <v>2.4</v>
      </c>
      <c r="J808" s="95"/>
      <c r="K808" s="96"/>
    </row>
    <row r="809" spans="2:11" x14ac:dyDescent="0.3">
      <c r="B809" s="94">
        <v>46210</v>
      </c>
      <c r="C809" s="37" t="s">
        <v>369</v>
      </c>
      <c r="D809" s="125">
        <v>13</v>
      </c>
      <c r="E809" s="95" t="str">
        <f>+VLOOKUP(D809,'Código Tambos'!B:C,2,0)</f>
        <v>Estancia Aleluya</v>
      </c>
      <c r="F809" s="96">
        <v>7139</v>
      </c>
      <c r="G809" s="97"/>
      <c r="H809" s="97"/>
      <c r="I809" s="95">
        <v>2.6</v>
      </c>
      <c r="J809" s="95"/>
      <c r="K809" s="96"/>
    </row>
    <row r="810" spans="2:11" x14ac:dyDescent="0.3">
      <c r="B810" s="94">
        <v>46210</v>
      </c>
      <c r="C810" s="37" t="s">
        <v>369</v>
      </c>
      <c r="D810" s="125">
        <v>23</v>
      </c>
      <c r="E810" s="95" t="str">
        <f>+VLOOKUP(D810,'Código Tambos'!B:C,2,0)</f>
        <v>La Victoria</v>
      </c>
      <c r="F810" s="96">
        <v>11345</v>
      </c>
      <c r="G810" s="97"/>
      <c r="H810" s="97"/>
      <c r="I810" s="95">
        <v>3.5</v>
      </c>
      <c r="J810" s="95"/>
      <c r="K810" s="96"/>
    </row>
    <row r="811" spans="2:11" x14ac:dyDescent="0.3">
      <c r="B811" s="94">
        <v>46210</v>
      </c>
      <c r="C811" s="37" t="s">
        <v>370</v>
      </c>
      <c r="D811" s="125">
        <v>10</v>
      </c>
      <c r="E811" s="95" t="str">
        <f>+VLOOKUP(D811,'Código Tambos'!B:C,2,0)</f>
        <v>Huaca Hue</v>
      </c>
      <c r="F811" s="96">
        <v>8186</v>
      </c>
      <c r="G811" s="97"/>
      <c r="H811" s="97"/>
      <c r="I811" s="95">
        <v>2.9</v>
      </c>
      <c r="J811" s="95"/>
      <c r="K811" s="96"/>
    </row>
    <row r="812" spans="2:11" x14ac:dyDescent="0.3">
      <c r="B812" s="94">
        <v>46210</v>
      </c>
      <c r="C812" s="37" t="s">
        <v>370</v>
      </c>
      <c r="D812" s="125" t="s">
        <v>183</v>
      </c>
      <c r="E812" s="95" t="str">
        <f>+VLOOKUP(D812,'Código Tambos'!B:C,2,0)</f>
        <v>Larregain Hnos (TLR)</v>
      </c>
      <c r="F812" s="96">
        <v>5757</v>
      </c>
      <c r="G812" s="97"/>
      <c r="H812" s="97"/>
      <c r="I812" s="95">
        <v>3</v>
      </c>
      <c r="J812" s="95"/>
      <c r="K812" s="96"/>
    </row>
    <row r="813" spans="2:11" x14ac:dyDescent="0.3">
      <c r="B813" s="94">
        <v>46210</v>
      </c>
      <c r="C813" s="37" t="s">
        <v>370</v>
      </c>
      <c r="D813" s="125" t="s">
        <v>184</v>
      </c>
      <c r="E813" s="95" t="str">
        <f>+VLOOKUP(D813,'Código Tambos'!B:C,2,0)</f>
        <v>Larregain Hnos (TLR)</v>
      </c>
      <c r="F813" s="96">
        <v>1838</v>
      </c>
      <c r="G813" s="97"/>
      <c r="H813" s="97"/>
      <c r="I813" s="95">
        <v>2.9</v>
      </c>
      <c r="J813" s="95"/>
      <c r="K813" s="96"/>
    </row>
    <row r="814" spans="2:11" x14ac:dyDescent="0.3">
      <c r="B814" s="98">
        <v>46210</v>
      </c>
      <c r="C814" s="30" t="s">
        <v>370</v>
      </c>
      <c r="D814" s="126">
        <v>12</v>
      </c>
      <c r="E814" s="99" t="str">
        <f>+VLOOKUP(D814,'Código Tambos'!B:C,2,0)</f>
        <v>Santa Isabel</v>
      </c>
      <c r="F814" s="100">
        <v>3152</v>
      </c>
      <c r="G814" s="101"/>
      <c r="H814" s="101"/>
      <c r="I814" s="99">
        <v>2.9</v>
      </c>
      <c r="J814" s="99"/>
      <c r="K814" s="100"/>
    </row>
    <row r="815" spans="2:11" x14ac:dyDescent="0.3">
      <c r="B815" s="98">
        <v>46210</v>
      </c>
      <c r="C815" s="30" t="s">
        <v>413</v>
      </c>
      <c r="D815" s="126">
        <v>13</v>
      </c>
      <c r="E815" s="99" t="str">
        <f>+VLOOKUP(D815,'Código Tambos'!B:C,2,0)</f>
        <v>Estancia Aleluya</v>
      </c>
      <c r="F815" s="100">
        <v>8400</v>
      </c>
      <c r="G815" s="101">
        <v>8464</v>
      </c>
      <c r="H815" s="101"/>
      <c r="I815" s="99">
        <v>2.9</v>
      </c>
      <c r="J815" s="99"/>
      <c r="K815" s="100"/>
    </row>
    <row r="816" spans="2:11" x14ac:dyDescent="0.3">
      <c r="B816" s="86">
        <v>46211</v>
      </c>
      <c r="C816" s="76" t="s">
        <v>371</v>
      </c>
      <c r="D816" s="127">
        <v>13</v>
      </c>
      <c r="E816" s="77" t="str">
        <f>+VLOOKUP(D816,'Código Tambos'!B:C,2,0)</f>
        <v>Estancia Aleluya</v>
      </c>
      <c r="F816" s="79">
        <v>8509</v>
      </c>
      <c r="G816" s="78">
        <v>8369</v>
      </c>
      <c r="H816" s="78">
        <f>+SUM(G816:G823)-SUM(F816:F823)</f>
        <v>136</v>
      </c>
      <c r="I816" s="77">
        <v>2.9</v>
      </c>
      <c r="J816" s="77"/>
      <c r="K816" s="79"/>
    </row>
    <row r="817" spans="2:11" x14ac:dyDescent="0.3">
      <c r="B817" s="86">
        <v>46211</v>
      </c>
      <c r="C817" s="76" t="s">
        <v>372</v>
      </c>
      <c r="D817" s="127">
        <v>23</v>
      </c>
      <c r="E817" s="77" t="str">
        <f>+VLOOKUP(D817,'Código Tambos'!B:C,2,0)</f>
        <v>La Victoria</v>
      </c>
      <c r="F817" s="79">
        <v>11382</v>
      </c>
      <c r="G817" s="78">
        <v>23180</v>
      </c>
      <c r="H817" s="78"/>
      <c r="I817" s="77">
        <v>3.7</v>
      </c>
      <c r="J817" s="77"/>
      <c r="K817" s="79"/>
    </row>
    <row r="818" spans="2:11" x14ac:dyDescent="0.3">
      <c r="B818" s="86">
        <v>46211</v>
      </c>
      <c r="C818" s="76" t="s">
        <v>372</v>
      </c>
      <c r="D818" s="127">
        <v>21</v>
      </c>
      <c r="E818" s="77" t="str">
        <f>+VLOOKUP(D818,'Código Tambos'!B:C,2,0)</f>
        <v>Brivio Eduardo (TBR)</v>
      </c>
      <c r="F818" s="79">
        <v>4401</v>
      </c>
      <c r="G818" s="78"/>
      <c r="H818" s="78"/>
      <c r="I818" s="77">
        <v>2.6</v>
      </c>
      <c r="J818" s="77"/>
      <c r="K818" s="79"/>
    </row>
    <row r="819" spans="2:11" x14ac:dyDescent="0.3">
      <c r="B819" s="86">
        <v>46211</v>
      </c>
      <c r="C819" s="76" t="s">
        <v>372</v>
      </c>
      <c r="D819" s="127">
        <v>13</v>
      </c>
      <c r="E819" s="77" t="str">
        <f>+VLOOKUP(D819,'Código Tambos'!B:C,2,0)</f>
        <v>Estancia Aleluya</v>
      </c>
      <c r="F819" s="79">
        <v>7134</v>
      </c>
      <c r="G819" s="78"/>
      <c r="H819" s="78"/>
      <c r="I819" s="77">
        <v>2.6</v>
      </c>
      <c r="J819" s="77"/>
      <c r="K819" s="79"/>
    </row>
    <row r="820" spans="2:11" x14ac:dyDescent="0.3">
      <c r="B820" s="86">
        <v>46211</v>
      </c>
      <c r="C820" s="76" t="s">
        <v>373</v>
      </c>
      <c r="D820" s="127">
        <v>10</v>
      </c>
      <c r="E820" s="77" t="str">
        <f>+VLOOKUP(D820,'Código Tambos'!B:C,2,0)</f>
        <v>Huaca Hue</v>
      </c>
      <c r="F820" s="79">
        <v>8205</v>
      </c>
      <c r="G820" s="78">
        <v>18907</v>
      </c>
      <c r="H820" s="78"/>
      <c r="I820" s="77">
        <v>3</v>
      </c>
      <c r="J820" s="77"/>
      <c r="K820" s="79"/>
    </row>
    <row r="821" spans="2:11" x14ac:dyDescent="0.3">
      <c r="B821" s="86">
        <v>46211</v>
      </c>
      <c r="C821" s="76" t="s">
        <v>373</v>
      </c>
      <c r="D821" s="127">
        <v>12</v>
      </c>
      <c r="E821" s="77" t="str">
        <f>+VLOOKUP(D821,'Código Tambos'!B:C,2,0)</f>
        <v>Santa Isabel</v>
      </c>
      <c r="F821" s="79">
        <v>3000</v>
      </c>
      <c r="G821" s="78"/>
      <c r="H821" s="78"/>
      <c r="I821" s="77">
        <v>3</v>
      </c>
      <c r="J821" s="77"/>
      <c r="K821" s="79"/>
    </row>
    <row r="822" spans="2:11" x14ac:dyDescent="0.3">
      <c r="B822" s="86">
        <v>46211</v>
      </c>
      <c r="C822" s="76" t="s">
        <v>373</v>
      </c>
      <c r="D822" s="127" t="s">
        <v>184</v>
      </c>
      <c r="E822" s="77" t="str">
        <f>+VLOOKUP(D822,'Código Tambos'!B:C,2,0)</f>
        <v>Larregain Hnos (TLR)</v>
      </c>
      <c r="F822" s="79">
        <v>1885</v>
      </c>
      <c r="G822" s="78"/>
      <c r="H822" s="78"/>
      <c r="I822" s="77">
        <v>2.9</v>
      </c>
      <c r="J822" s="77"/>
      <c r="K822" s="79"/>
    </row>
    <row r="823" spans="2:11" x14ac:dyDescent="0.3">
      <c r="B823" s="88">
        <v>46211</v>
      </c>
      <c r="C823" s="33" t="s">
        <v>373</v>
      </c>
      <c r="D823" s="128" t="s">
        <v>183</v>
      </c>
      <c r="E823" s="81" t="str">
        <f>+VLOOKUP(D823,'Código Tambos'!B:C,2,0)</f>
        <v>Larregain Hnos (TLR)</v>
      </c>
      <c r="F823" s="83">
        <v>5804</v>
      </c>
      <c r="G823" s="82"/>
      <c r="H823" s="82"/>
      <c r="I823" s="81">
        <v>2.9</v>
      </c>
      <c r="J823" s="81"/>
      <c r="K823" s="83"/>
    </row>
    <row r="824" spans="2:11" x14ac:dyDescent="0.3">
      <c r="B824" s="94">
        <v>46212</v>
      </c>
      <c r="C824" s="37" t="s">
        <v>374</v>
      </c>
      <c r="D824" s="125">
        <v>23</v>
      </c>
      <c r="E824" s="95" t="str">
        <f>+VLOOKUP(D824,'Código Tambos'!B:C,2,0)</f>
        <v>La Victoria</v>
      </c>
      <c r="F824" s="96">
        <v>11536</v>
      </c>
      <c r="G824" s="97">
        <v>23432</v>
      </c>
      <c r="H824" s="97">
        <f>+SUM(G824:G830)-SUM(F824:F830)</f>
        <v>287</v>
      </c>
      <c r="I824" s="95">
        <v>3.8</v>
      </c>
      <c r="J824" s="95"/>
      <c r="K824" s="96"/>
    </row>
    <row r="825" spans="2:11" x14ac:dyDescent="0.3">
      <c r="B825" s="94">
        <v>46212</v>
      </c>
      <c r="C825" s="37" t="s">
        <v>374</v>
      </c>
      <c r="D825" s="125">
        <v>21</v>
      </c>
      <c r="E825" s="95" t="str">
        <f>+VLOOKUP(D825,'Código Tambos'!B:C,2,0)</f>
        <v>Brivio Eduardo (TBR)</v>
      </c>
      <c r="F825" s="96">
        <v>4457</v>
      </c>
      <c r="G825" s="97"/>
      <c r="H825" s="97"/>
      <c r="I825" s="95">
        <v>2.6</v>
      </c>
      <c r="J825" s="95"/>
      <c r="K825" s="96"/>
    </row>
    <row r="826" spans="2:11" x14ac:dyDescent="0.3">
      <c r="B826" s="94">
        <v>46212</v>
      </c>
      <c r="C826" s="37" t="s">
        <v>374</v>
      </c>
      <c r="D826" s="125">
        <v>13</v>
      </c>
      <c r="E826" s="95" t="str">
        <f>+VLOOKUP(D826,'Código Tambos'!B:C,2,0)</f>
        <v>Estancia Aleluya</v>
      </c>
      <c r="F826" s="96">
        <v>7137</v>
      </c>
      <c r="G826" s="97"/>
      <c r="H826" s="97"/>
      <c r="I826" s="95">
        <v>2.4</v>
      </c>
      <c r="J826" s="95"/>
      <c r="K826" s="96"/>
    </row>
    <row r="827" spans="2:11" x14ac:dyDescent="0.3">
      <c r="B827" s="94">
        <v>46212</v>
      </c>
      <c r="C827" s="37" t="s">
        <v>375</v>
      </c>
      <c r="D827" s="125">
        <v>10</v>
      </c>
      <c r="E827" s="95" t="str">
        <f>+VLOOKUP(D827,'Código Tambos'!B:C,2,0)</f>
        <v>Huaca Hue</v>
      </c>
      <c r="F827" s="96">
        <v>8319</v>
      </c>
      <c r="G827" s="97">
        <v>19148</v>
      </c>
      <c r="H827" s="97"/>
      <c r="I827" s="95">
        <v>3</v>
      </c>
      <c r="J827" s="95"/>
      <c r="K827" s="96"/>
    </row>
    <row r="828" spans="2:11" x14ac:dyDescent="0.3">
      <c r="B828" s="94">
        <v>46212</v>
      </c>
      <c r="C828" s="37" t="s">
        <v>375</v>
      </c>
      <c r="D828" s="125">
        <v>12</v>
      </c>
      <c r="E828" s="95" t="str">
        <f>+VLOOKUP(D828,'Código Tambos'!B:C,2,0)</f>
        <v>Santa Isabel</v>
      </c>
      <c r="F828" s="96">
        <v>3200</v>
      </c>
      <c r="G828" s="97"/>
      <c r="H828" s="97"/>
      <c r="I828" s="95">
        <v>2.9</v>
      </c>
      <c r="J828" s="95"/>
      <c r="K828" s="96"/>
    </row>
    <row r="829" spans="2:11" x14ac:dyDescent="0.3">
      <c r="B829" s="94">
        <v>46212</v>
      </c>
      <c r="C829" s="37" t="s">
        <v>375</v>
      </c>
      <c r="D829" s="125" t="s">
        <v>184</v>
      </c>
      <c r="E829" s="95" t="str">
        <f>+VLOOKUP(D829,'Código Tambos'!B:C,2,0)</f>
        <v>Larregain Hnos (TLR)</v>
      </c>
      <c r="F829" s="96">
        <v>1865</v>
      </c>
      <c r="G829" s="97"/>
      <c r="H829" s="97"/>
      <c r="I829" s="95">
        <v>3</v>
      </c>
      <c r="J829" s="95"/>
      <c r="K829" s="96"/>
    </row>
    <row r="830" spans="2:11" x14ac:dyDescent="0.3">
      <c r="B830" s="98">
        <v>46212</v>
      </c>
      <c r="C830" s="30" t="s">
        <v>375</v>
      </c>
      <c r="D830" s="126" t="s">
        <v>183</v>
      </c>
      <c r="E830" s="99" t="str">
        <f>+VLOOKUP(D830,'Código Tambos'!B:C,2,0)</f>
        <v>Larregain Hnos (TLR)</v>
      </c>
      <c r="F830" s="100">
        <v>5779</v>
      </c>
      <c r="G830" s="101"/>
      <c r="H830" s="101"/>
      <c r="I830" s="99">
        <v>3</v>
      </c>
      <c r="J830" s="99"/>
      <c r="K830" s="100"/>
    </row>
    <row r="831" spans="2:11" x14ac:dyDescent="0.3">
      <c r="B831" s="84">
        <v>46228</v>
      </c>
      <c r="C831" s="32" t="s">
        <v>376</v>
      </c>
      <c r="D831" s="135">
        <v>13</v>
      </c>
      <c r="E831" s="72" t="str">
        <f>+VLOOKUP(D831,'Código Tambos'!B:C,2,0)</f>
        <v>Estancia Aleluya</v>
      </c>
      <c r="F831" s="74">
        <v>6846</v>
      </c>
      <c r="G831" s="73">
        <v>22648</v>
      </c>
      <c r="H831" s="73">
        <f>+SUM(G831:G835)-SUM(F831:F835)</f>
        <v>-100</v>
      </c>
      <c r="I831" s="72">
        <v>3.8</v>
      </c>
      <c r="J831" s="72"/>
      <c r="K831" s="74"/>
    </row>
    <row r="832" spans="2:11" x14ac:dyDescent="0.3">
      <c r="B832" s="86">
        <v>46229</v>
      </c>
      <c r="C832" s="76" t="s">
        <v>377</v>
      </c>
      <c r="D832" s="127">
        <v>22</v>
      </c>
      <c r="E832" s="77" t="str">
        <f>+VLOOKUP(D832,'Código Tambos'!B:C,2,0)</f>
        <v>Trueba Roberto</v>
      </c>
      <c r="F832" s="79">
        <v>5620</v>
      </c>
      <c r="G832" s="78"/>
      <c r="H832" s="78"/>
      <c r="I832" s="77">
        <v>4.7</v>
      </c>
      <c r="J832" s="77"/>
      <c r="K832" s="79"/>
    </row>
    <row r="833" spans="2:11" x14ac:dyDescent="0.3">
      <c r="B833" s="86">
        <v>46229</v>
      </c>
      <c r="C833" s="76" t="s">
        <v>377</v>
      </c>
      <c r="D833" s="127">
        <v>12</v>
      </c>
      <c r="E833" s="77" t="str">
        <f>+VLOOKUP(D833,'Código Tambos'!B:C,2,0)</f>
        <v>Santa Isabel</v>
      </c>
      <c r="F833" s="79">
        <v>3028</v>
      </c>
      <c r="G833" s="78"/>
      <c r="H833" s="78"/>
      <c r="I833" s="77">
        <v>4.3</v>
      </c>
      <c r="J833" s="77"/>
      <c r="K833" s="79"/>
    </row>
    <row r="834" spans="2:11" x14ac:dyDescent="0.3">
      <c r="B834" s="86">
        <v>46229</v>
      </c>
      <c r="C834" s="76" t="s">
        <v>377</v>
      </c>
      <c r="D834" s="180" t="s">
        <v>183</v>
      </c>
      <c r="E834" s="77" t="str">
        <f>+VLOOKUP(D834,'Código Tambos'!B:C,2,0)</f>
        <v>Larregain Hnos (TLR)</v>
      </c>
      <c r="F834" s="79">
        <v>5713</v>
      </c>
      <c r="G834" s="78"/>
      <c r="H834" s="78"/>
      <c r="I834" s="77">
        <v>2.7</v>
      </c>
      <c r="J834" s="77"/>
      <c r="K834" s="79"/>
    </row>
    <row r="835" spans="2:11" x14ac:dyDescent="0.3">
      <c r="B835" s="88">
        <v>46229</v>
      </c>
      <c r="C835" s="33" t="s">
        <v>377</v>
      </c>
      <c r="D835" s="181" t="s">
        <v>184</v>
      </c>
      <c r="E835" s="81" t="str">
        <f>+VLOOKUP(D835,'Código Tambos'!B:C,2,0)</f>
        <v>Larregain Hnos (TLR)</v>
      </c>
      <c r="F835" s="83">
        <v>1541</v>
      </c>
      <c r="G835" s="82"/>
      <c r="H835" s="82"/>
      <c r="I835" s="81">
        <v>3.8</v>
      </c>
      <c r="J835" s="81"/>
      <c r="K835" s="83"/>
    </row>
    <row r="836" spans="2:11" x14ac:dyDescent="0.3">
      <c r="B836" s="90">
        <v>46229</v>
      </c>
      <c r="C836" s="28" t="s">
        <v>378</v>
      </c>
      <c r="D836" s="136">
        <v>10</v>
      </c>
      <c r="E836" s="91" t="str">
        <f>+VLOOKUP(D836,'Código Tambos'!B:C,2,0)</f>
        <v>Huaca Hue</v>
      </c>
      <c r="F836" s="92">
        <v>8319</v>
      </c>
      <c r="G836" s="93">
        <v>24798</v>
      </c>
      <c r="H836" s="93">
        <f>+SUM(G836:G838)-SUM(F836:F838)</f>
        <v>109</v>
      </c>
      <c r="I836" s="91">
        <v>3.1</v>
      </c>
      <c r="J836" s="91"/>
      <c r="K836" s="92"/>
    </row>
    <row r="837" spans="2:11" x14ac:dyDescent="0.3">
      <c r="B837" s="94">
        <v>46229</v>
      </c>
      <c r="C837" s="37" t="s">
        <v>378</v>
      </c>
      <c r="D837" s="125">
        <v>11</v>
      </c>
      <c r="E837" s="95" t="str">
        <f>+VLOOKUP(D837,'Código Tambos'!B:C,2,0)</f>
        <v>Don Enrique (Amalina)</v>
      </c>
      <c r="F837" s="96">
        <v>7074</v>
      </c>
      <c r="G837" s="97"/>
      <c r="H837" s="97"/>
      <c r="I837" s="95">
        <v>3.9</v>
      </c>
      <c r="J837" s="95"/>
      <c r="K837" s="96"/>
    </row>
    <row r="838" spans="2:11" x14ac:dyDescent="0.3">
      <c r="B838" s="98">
        <v>46229</v>
      </c>
      <c r="C838" s="30" t="s">
        <v>378</v>
      </c>
      <c r="D838" s="126">
        <v>25</v>
      </c>
      <c r="E838" s="99" t="s">
        <v>381</v>
      </c>
      <c r="F838" s="100">
        <v>9296</v>
      </c>
      <c r="G838" s="101"/>
      <c r="H838" s="101"/>
      <c r="I838" s="99">
        <v>3.9</v>
      </c>
      <c r="J838" s="99"/>
      <c r="K838" s="100"/>
    </row>
    <row r="839" spans="2:11" x14ac:dyDescent="0.3">
      <c r="B839" s="84">
        <v>46229</v>
      </c>
      <c r="C839" s="32" t="s">
        <v>382</v>
      </c>
      <c r="D839" s="135">
        <v>23</v>
      </c>
      <c r="E839" s="72" t="str">
        <f>+VLOOKUP(D839,'Código Tambos'!B:C,2,0)</f>
        <v>La Victoria</v>
      </c>
      <c r="F839" s="74">
        <v>11689</v>
      </c>
      <c r="G839" s="73">
        <v>26144</v>
      </c>
      <c r="H839" s="73">
        <f>+SUM(G839:G841)-SUM(F839:F841)</f>
        <v>323</v>
      </c>
      <c r="I839" s="72">
        <v>4</v>
      </c>
      <c r="J839" s="72"/>
      <c r="K839" s="74"/>
    </row>
    <row r="840" spans="2:11" x14ac:dyDescent="0.3">
      <c r="B840" s="86">
        <v>46229</v>
      </c>
      <c r="C840" s="76" t="s">
        <v>382</v>
      </c>
      <c r="D840" s="127">
        <v>21</v>
      </c>
      <c r="E840" s="77" t="str">
        <f>+VLOOKUP(D840,'Código Tambos'!B:C,2,0)</f>
        <v>Brivio Eduardo (TBR)</v>
      </c>
      <c r="F840" s="79">
        <v>6998</v>
      </c>
      <c r="G840" s="78"/>
      <c r="H840" s="78"/>
      <c r="I840" s="77">
        <v>2.6</v>
      </c>
      <c r="J840" s="77"/>
      <c r="K840" s="79"/>
    </row>
    <row r="841" spans="2:11" x14ac:dyDescent="0.3">
      <c r="B841" s="88">
        <v>46229</v>
      </c>
      <c r="C841" s="33" t="s">
        <v>382</v>
      </c>
      <c r="D841" s="128">
        <v>13</v>
      </c>
      <c r="E841" s="81" t="str">
        <f>+VLOOKUP(D841,'Código Tambos'!B:C,2,0)</f>
        <v>Estancia Aleluya</v>
      </c>
      <c r="F841" s="83">
        <v>7134</v>
      </c>
      <c r="G841" s="82"/>
      <c r="H841" s="82"/>
      <c r="I841" s="81">
        <v>3.4</v>
      </c>
      <c r="J841" s="81"/>
      <c r="K841" s="83"/>
    </row>
    <row r="842" spans="2:11" x14ac:dyDescent="0.3">
      <c r="B842" s="90">
        <v>46229</v>
      </c>
      <c r="C842" s="28" t="s">
        <v>385</v>
      </c>
      <c r="D842" s="136">
        <v>13</v>
      </c>
      <c r="E842" s="91" t="str">
        <f>+VLOOKUP(D842,'Código Tambos'!B:C,2,0)</f>
        <v>Estancia Aleluya</v>
      </c>
      <c r="F842" s="92">
        <v>8267</v>
      </c>
      <c r="G842" s="93">
        <v>24430</v>
      </c>
      <c r="H842" s="93">
        <f>+SUM(G842:G846)-SUM(F842:F846)</f>
        <v>83</v>
      </c>
      <c r="I842" s="91">
        <v>4.0999999999999996</v>
      </c>
      <c r="J842" s="91"/>
      <c r="K842" s="92"/>
    </row>
    <row r="843" spans="2:11" x14ac:dyDescent="0.3">
      <c r="B843" s="94">
        <v>46230</v>
      </c>
      <c r="C843" s="37" t="s">
        <v>384</v>
      </c>
      <c r="D843" s="125">
        <v>22</v>
      </c>
      <c r="E843" s="95" t="str">
        <f>+VLOOKUP(D843,'Código Tambos'!B:C,2,0)</f>
        <v>Trueba Roberto</v>
      </c>
      <c r="F843" s="96">
        <v>5570</v>
      </c>
      <c r="G843" s="97"/>
      <c r="H843" s="97"/>
      <c r="I843" s="95">
        <v>4.3</v>
      </c>
      <c r="J843" s="95"/>
      <c r="K843" s="96"/>
    </row>
    <row r="844" spans="2:11" x14ac:dyDescent="0.3">
      <c r="B844" s="94">
        <v>46230</v>
      </c>
      <c r="C844" s="37" t="s">
        <v>384</v>
      </c>
      <c r="D844" s="125">
        <v>12</v>
      </c>
      <c r="E844" s="95" t="str">
        <f>+VLOOKUP(D844,'Código Tambos'!B:C,2,0)</f>
        <v>Santa Isabel</v>
      </c>
      <c r="F844" s="96">
        <v>3062</v>
      </c>
      <c r="G844" s="97"/>
      <c r="H844" s="97"/>
      <c r="I844" s="95">
        <v>4.5</v>
      </c>
      <c r="J844" s="95"/>
      <c r="K844" s="96"/>
    </row>
    <row r="845" spans="2:11" x14ac:dyDescent="0.3">
      <c r="B845" s="94">
        <v>46230</v>
      </c>
      <c r="C845" s="37" t="s">
        <v>384</v>
      </c>
      <c r="D845" s="182" t="s">
        <v>183</v>
      </c>
      <c r="E845" s="95" t="str">
        <f>+VLOOKUP(D845,'Código Tambos'!B:C,2,0)</f>
        <v>Larregain Hnos (TLR)</v>
      </c>
      <c r="F845" s="96">
        <v>5900</v>
      </c>
      <c r="G845" s="97"/>
      <c r="H845" s="97"/>
      <c r="I845" s="95">
        <v>2.9</v>
      </c>
      <c r="J845" s="95"/>
      <c r="K845" s="96"/>
    </row>
    <row r="846" spans="2:11" x14ac:dyDescent="0.3">
      <c r="B846" s="98">
        <v>46230</v>
      </c>
      <c r="C846" s="30" t="s">
        <v>384</v>
      </c>
      <c r="D846" s="183" t="s">
        <v>184</v>
      </c>
      <c r="E846" s="99" t="str">
        <f>+VLOOKUP(D846,'Código Tambos'!B:C,2,0)</f>
        <v>Larregain Hnos (TLR)</v>
      </c>
      <c r="F846" s="100">
        <v>1548</v>
      </c>
      <c r="G846" s="101"/>
      <c r="H846" s="101"/>
      <c r="I846" s="99">
        <v>3.4</v>
      </c>
      <c r="J846" s="99"/>
      <c r="K846" s="100"/>
    </row>
    <row r="847" spans="2:11" x14ac:dyDescent="0.3">
      <c r="B847" s="84">
        <v>46230</v>
      </c>
      <c r="C847" s="32" t="s">
        <v>383</v>
      </c>
      <c r="D847" s="135">
        <v>23</v>
      </c>
      <c r="E847" s="72" t="str">
        <f>+VLOOKUP(D847,'Código Tambos'!B:C,2,0)</f>
        <v>La Victoria</v>
      </c>
      <c r="F847" s="74">
        <v>11813</v>
      </c>
      <c r="G847" s="73">
        <v>24098</v>
      </c>
      <c r="H847" s="73">
        <f>+SUM(G847:G849)-SUM(F847:F849)</f>
        <v>272</v>
      </c>
      <c r="I847" s="72">
        <v>3.6</v>
      </c>
      <c r="J847" s="72"/>
      <c r="K847" s="74"/>
    </row>
    <row r="848" spans="2:11" x14ac:dyDescent="0.3">
      <c r="B848" s="86">
        <v>46230</v>
      </c>
      <c r="C848" s="76" t="s">
        <v>383</v>
      </c>
      <c r="D848" s="127">
        <v>21</v>
      </c>
      <c r="E848" s="77" t="str">
        <f>+VLOOKUP(D848,'Código Tambos'!B:C,2,0)</f>
        <v>Brivio Eduardo (TBR)</v>
      </c>
      <c r="F848" s="79">
        <v>4880</v>
      </c>
      <c r="G848" s="78"/>
      <c r="H848" s="78"/>
      <c r="I848" s="77">
        <v>2.7</v>
      </c>
      <c r="J848" s="77"/>
      <c r="K848" s="79"/>
    </row>
    <row r="849" spans="2:11" x14ac:dyDescent="0.3">
      <c r="B849" s="88">
        <v>46230</v>
      </c>
      <c r="C849" s="33" t="s">
        <v>383</v>
      </c>
      <c r="D849" s="128">
        <v>13</v>
      </c>
      <c r="E849" s="81" t="str">
        <f>+VLOOKUP(D849,'Código Tambos'!B:C,2,0)</f>
        <v>Estancia Aleluya</v>
      </c>
      <c r="F849" s="83">
        <v>7133</v>
      </c>
      <c r="G849" s="82"/>
      <c r="H849" s="82"/>
      <c r="I849" s="81">
        <v>2.5</v>
      </c>
      <c r="J849" s="81"/>
      <c r="K849" s="83"/>
    </row>
    <row r="850" spans="2:11" x14ac:dyDescent="0.3">
      <c r="B850" s="90">
        <v>46230</v>
      </c>
      <c r="C850" s="28" t="s">
        <v>379</v>
      </c>
      <c r="D850" s="136">
        <v>10</v>
      </c>
      <c r="E850" s="91" t="str">
        <f>+VLOOKUP(D850,'Código Tambos'!B:C,2,0)</f>
        <v>Huaca Hue</v>
      </c>
      <c r="F850" s="92">
        <v>8862</v>
      </c>
      <c r="G850" s="93">
        <v>17420</v>
      </c>
      <c r="H850" s="93">
        <f>+SUM(G850:G852)-SUM(F850:F852)</f>
        <v>-203</v>
      </c>
      <c r="I850" s="91">
        <v>3</v>
      </c>
      <c r="J850" s="91"/>
      <c r="K850" s="92"/>
    </row>
    <row r="851" spans="2:11" x14ac:dyDescent="0.3">
      <c r="B851" s="94">
        <v>46230</v>
      </c>
      <c r="C851" s="37" t="s">
        <v>379</v>
      </c>
      <c r="D851" s="125">
        <v>11</v>
      </c>
      <c r="E851" s="95" t="str">
        <f>+VLOOKUP(D851,'Código Tambos'!B:C,2,0)</f>
        <v>Don Enrique (Amalina)</v>
      </c>
      <c r="F851" s="96">
        <v>7232</v>
      </c>
      <c r="G851" s="97"/>
      <c r="H851" s="97"/>
      <c r="I851" s="95">
        <v>3.2</v>
      </c>
      <c r="J851" s="95"/>
      <c r="K851" s="96"/>
    </row>
    <row r="852" spans="2:11" x14ac:dyDescent="0.3">
      <c r="B852" s="98">
        <v>46230</v>
      </c>
      <c r="C852" s="30" t="s">
        <v>379</v>
      </c>
      <c r="D852" s="126">
        <v>25</v>
      </c>
      <c r="E852" s="99" t="str">
        <f>+VLOOKUP(D852,'Código Tambos'!B:C,2,0)</f>
        <v>Viejo Ceibo</v>
      </c>
      <c r="F852" s="100">
        <v>1529</v>
      </c>
      <c r="G852" s="101"/>
      <c r="H852" s="101"/>
      <c r="I852" s="99">
        <v>3.9</v>
      </c>
      <c r="J852" s="99"/>
      <c r="K852" s="100"/>
    </row>
    <row r="853" spans="2:11" x14ac:dyDescent="0.3">
      <c r="B853" s="107">
        <v>46230</v>
      </c>
      <c r="C853" s="108" t="s">
        <v>386</v>
      </c>
      <c r="D853" s="174">
        <v>13</v>
      </c>
      <c r="E853" s="109" t="str">
        <f>+VLOOKUP(D853,'Código Tambos'!B:C,2,0)</f>
        <v>Estancia Aleluya</v>
      </c>
      <c r="F853" s="110">
        <v>8306</v>
      </c>
      <c r="G853" s="111">
        <v>8132</v>
      </c>
      <c r="H853" s="111">
        <f>+SUM(G853:G853)-SUM(F853:F853)</f>
        <v>-174</v>
      </c>
      <c r="I853" s="109">
        <v>4.5</v>
      </c>
      <c r="J853" s="109"/>
      <c r="K853" s="110"/>
    </row>
    <row r="854" spans="2:11" x14ac:dyDescent="0.3">
      <c r="B854" s="90">
        <v>46231</v>
      </c>
      <c r="C854" s="28" t="s">
        <v>388</v>
      </c>
      <c r="D854" s="136">
        <v>22</v>
      </c>
      <c r="E854" s="91" t="str">
        <f>+VLOOKUP(D854,'Código Tambos'!B:C,2,0)</f>
        <v>Trueba Roberto</v>
      </c>
      <c r="F854" s="92">
        <v>5801</v>
      </c>
      <c r="G854" s="93">
        <v>26370</v>
      </c>
      <c r="H854" s="93">
        <f>+SUM(G854:G858)-SUM(F854:F858)</f>
        <v>224</v>
      </c>
      <c r="I854" s="91">
        <v>4.3</v>
      </c>
      <c r="J854" s="91"/>
      <c r="K854" s="92"/>
    </row>
    <row r="855" spans="2:11" x14ac:dyDescent="0.3">
      <c r="B855" s="94">
        <v>46231</v>
      </c>
      <c r="C855" s="37" t="s">
        <v>388</v>
      </c>
      <c r="D855" s="125">
        <v>10</v>
      </c>
      <c r="E855" s="95" t="str">
        <f>+VLOOKUP(D855,'Código Tambos'!B:C,2,0)</f>
        <v>Huaca Hue</v>
      </c>
      <c r="F855" s="96">
        <v>9527</v>
      </c>
      <c r="G855" s="97"/>
      <c r="H855" s="97"/>
      <c r="I855" s="95">
        <v>2.9</v>
      </c>
      <c r="J855" s="95"/>
      <c r="K855" s="96"/>
    </row>
    <row r="856" spans="2:11" x14ac:dyDescent="0.3">
      <c r="B856" s="94">
        <v>46231</v>
      </c>
      <c r="C856" s="37" t="s">
        <v>388</v>
      </c>
      <c r="D856" s="125">
        <v>12</v>
      </c>
      <c r="E856" s="95" t="str">
        <f>+VLOOKUP(D856,'Código Tambos'!B:C,2,0)</f>
        <v>Santa Isabel</v>
      </c>
      <c r="F856" s="96">
        <v>3076</v>
      </c>
      <c r="G856" s="97"/>
      <c r="H856" s="97"/>
      <c r="I856" s="95">
        <v>4.8</v>
      </c>
      <c r="J856" s="95"/>
      <c r="K856" s="96"/>
    </row>
    <row r="857" spans="2:11" x14ac:dyDescent="0.3">
      <c r="B857" s="94">
        <v>46231</v>
      </c>
      <c r="C857" s="37" t="s">
        <v>388</v>
      </c>
      <c r="D857" s="182" t="s">
        <v>183</v>
      </c>
      <c r="E857" s="95" t="str">
        <f>+VLOOKUP(D857,'Código Tambos'!B:C,2,0)</f>
        <v>Larregain Hnos (TLR)</v>
      </c>
      <c r="F857" s="96">
        <v>6164</v>
      </c>
      <c r="G857" s="97"/>
      <c r="H857" s="97"/>
      <c r="I857" s="95">
        <v>3.2</v>
      </c>
      <c r="J857" s="95"/>
      <c r="K857" s="96"/>
    </row>
    <row r="858" spans="2:11" x14ac:dyDescent="0.3">
      <c r="B858" s="98">
        <v>46231</v>
      </c>
      <c r="C858" s="30" t="s">
        <v>388</v>
      </c>
      <c r="D858" s="183" t="s">
        <v>183</v>
      </c>
      <c r="E858" s="99" t="str">
        <f>+VLOOKUP(D858,'Código Tambos'!B:C,2,0)</f>
        <v>Larregain Hnos (TLR)</v>
      </c>
      <c r="F858" s="100">
        <v>1578</v>
      </c>
      <c r="G858" s="101"/>
      <c r="H858" s="101"/>
      <c r="I858" s="99">
        <v>3.8</v>
      </c>
      <c r="J858" s="99"/>
      <c r="K858" s="100"/>
    </row>
    <row r="859" spans="2:11" x14ac:dyDescent="0.3">
      <c r="B859" s="84">
        <v>46231</v>
      </c>
      <c r="C859" s="32" t="s">
        <v>380</v>
      </c>
      <c r="D859" s="135">
        <v>13</v>
      </c>
      <c r="E859" s="72" t="str">
        <f>+VLOOKUP(D859,'Código Tambos'!B:C,2,0)</f>
        <v>Estancia Aleluya</v>
      </c>
      <c r="F859" s="74">
        <v>7189</v>
      </c>
      <c r="G859" s="73">
        <v>12106</v>
      </c>
      <c r="H859" s="73">
        <f>+SUM(G859:G860)-SUM(F859:F860)</f>
        <v>-180</v>
      </c>
      <c r="I859" s="72">
        <v>4.0999999999999996</v>
      </c>
      <c r="J859" s="72"/>
      <c r="K859" s="74"/>
    </row>
    <row r="860" spans="2:11" x14ac:dyDescent="0.3">
      <c r="B860" s="88">
        <v>46231</v>
      </c>
      <c r="C860" s="33" t="s">
        <v>380</v>
      </c>
      <c r="D860" s="128">
        <v>25</v>
      </c>
      <c r="E860" s="81" t="str">
        <f>+VLOOKUP(D860,'Código Tambos'!B:C,2,0)</f>
        <v>Viejo Ceibo</v>
      </c>
      <c r="F860" s="83">
        <v>5097</v>
      </c>
      <c r="G860" s="82"/>
      <c r="H860" s="82"/>
      <c r="I860" s="81">
        <v>3.9</v>
      </c>
      <c r="J860" s="81"/>
      <c r="K860" s="83"/>
    </row>
    <row r="861" spans="2:11" x14ac:dyDescent="0.3">
      <c r="B861" s="90">
        <v>46231</v>
      </c>
      <c r="C861" s="28" t="s">
        <v>389</v>
      </c>
      <c r="D861" s="136">
        <v>23</v>
      </c>
      <c r="E861" s="91" t="str">
        <f>+VLOOKUP(D861,'Código Tambos'!B:C,2,0)</f>
        <v>La Victoria</v>
      </c>
      <c r="F861" s="92">
        <v>12255</v>
      </c>
      <c r="G861" s="93">
        <v>25808</v>
      </c>
      <c r="H861" s="93">
        <f>+SUM(G861:G863)-SUM(F861:F863)</f>
        <v>448</v>
      </c>
      <c r="I861" s="91">
        <v>3.7</v>
      </c>
      <c r="J861" s="91"/>
      <c r="K861" s="92"/>
    </row>
    <row r="862" spans="2:11" x14ac:dyDescent="0.3">
      <c r="B862" s="94">
        <v>46231</v>
      </c>
      <c r="C862" s="37" t="s">
        <v>389</v>
      </c>
      <c r="D862" s="125">
        <v>21</v>
      </c>
      <c r="E862" s="95" t="str">
        <f>+VLOOKUP(D862,'Código Tambos'!B:C,2,0)</f>
        <v>Brivio Eduardo (TBR)</v>
      </c>
      <c r="F862" s="96">
        <v>4785</v>
      </c>
      <c r="G862" s="97"/>
      <c r="H862" s="97"/>
      <c r="I862" s="95">
        <v>4.3</v>
      </c>
      <c r="J862" s="95"/>
      <c r="K862" s="96"/>
    </row>
    <row r="863" spans="2:11" x14ac:dyDescent="0.3">
      <c r="B863" s="98">
        <v>46231</v>
      </c>
      <c r="C863" s="30" t="s">
        <v>389</v>
      </c>
      <c r="D863" s="126">
        <v>13</v>
      </c>
      <c r="E863" s="99" t="str">
        <f>+VLOOKUP(D863,'Código Tambos'!B:C,2,0)</f>
        <v>Estancia Aleluya</v>
      </c>
      <c r="F863" s="100">
        <v>8320</v>
      </c>
      <c r="G863" s="101"/>
      <c r="H863" s="101"/>
      <c r="I863" s="99">
        <v>3.4</v>
      </c>
      <c r="J863" s="99"/>
      <c r="K863" s="100"/>
    </row>
    <row r="864" spans="2:11" x14ac:dyDescent="0.3">
      <c r="B864" s="84">
        <v>46232</v>
      </c>
      <c r="C864" s="32" t="s">
        <v>390</v>
      </c>
      <c r="D864" s="135">
        <v>23</v>
      </c>
      <c r="E864" s="72" t="str">
        <f>+VLOOKUP(D864,'Código Tambos'!B:C,2,0)</f>
        <v>La Victoria</v>
      </c>
      <c r="F864" s="74">
        <v>12073</v>
      </c>
      <c r="G864" s="73">
        <v>25412</v>
      </c>
      <c r="H864" s="73">
        <f>+SUM(G864:G866)-SUM(F864:F866)</f>
        <v>354</v>
      </c>
      <c r="I864" s="72">
        <v>3.5</v>
      </c>
      <c r="J864" s="72"/>
      <c r="K864" s="74"/>
    </row>
    <row r="865" spans="2:11" x14ac:dyDescent="0.3">
      <c r="B865" s="86">
        <v>46232</v>
      </c>
      <c r="C865" s="76" t="s">
        <v>390</v>
      </c>
      <c r="D865" s="127">
        <v>21</v>
      </c>
      <c r="E865" s="77" t="str">
        <f>+VLOOKUP(D865,'Código Tambos'!B:C,2,0)</f>
        <v>Brivio Eduardo (TBR)</v>
      </c>
      <c r="F865" s="79">
        <v>4694</v>
      </c>
      <c r="G865" s="78"/>
      <c r="H865" s="78"/>
      <c r="I865" s="77">
        <v>2.8</v>
      </c>
      <c r="J865" s="77"/>
      <c r="K865" s="79"/>
    </row>
    <row r="866" spans="2:11" x14ac:dyDescent="0.3">
      <c r="B866" s="88">
        <v>46232</v>
      </c>
      <c r="C866" s="33" t="s">
        <v>390</v>
      </c>
      <c r="D866" s="128">
        <v>13</v>
      </c>
      <c r="E866" s="81" t="str">
        <f>+VLOOKUP(D866,'Código Tambos'!B:C,2,0)</f>
        <v>Estancia Aleluya</v>
      </c>
      <c r="F866" s="83">
        <v>8291</v>
      </c>
      <c r="G866" s="82"/>
      <c r="H866" s="82"/>
      <c r="I866" s="81">
        <v>2.5</v>
      </c>
      <c r="J866" s="81"/>
      <c r="K866" s="83"/>
    </row>
    <row r="867" spans="2:11" x14ac:dyDescent="0.3">
      <c r="B867" s="90">
        <v>46232</v>
      </c>
      <c r="C867" s="28" t="s">
        <v>387</v>
      </c>
      <c r="D867" s="136">
        <v>10</v>
      </c>
      <c r="E867" s="91" t="str">
        <f>+VLOOKUP(D867,'Código Tambos'!B:C,2,0)</f>
        <v>Huaca Hue</v>
      </c>
      <c r="F867" s="92">
        <v>9583</v>
      </c>
      <c r="G867" s="93">
        <v>20248</v>
      </c>
      <c r="H867" s="93">
        <f>+SUM(G867:G870)-SUM(F867:F870)</f>
        <v>238</v>
      </c>
      <c r="I867" s="91">
        <v>3</v>
      </c>
      <c r="J867" s="91"/>
      <c r="K867" s="92"/>
    </row>
    <row r="868" spans="2:11" x14ac:dyDescent="0.3">
      <c r="B868" s="94">
        <v>46232</v>
      </c>
      <c r="C868" s="37" t="s">
        <v>387</v>
      </c>
      <c r="D868" s="125">
        <v>12</v>
      </c>
      <c r="E868" s="95" t="str">
        <f>+VLOOKUP(D868,'Código Tambos'!B:C,2,0)</f>
        <v>Santa Isabel</v>
      </c>
      <c r="F868" s="96">
        <v>2966</v>
      </c>
      <c r="G868" s="97"/>
      <c r="H868" s="97"/>
      <c r="I868" s="95">
        <v>3</v>
      </c>
      <c r="J868" s="95"/>
      <c r="K868" s="96"/>
    </row>
    <row r="869" spans="2:11" x14ac:dyDescent="0.3">
      <c r="B869" s="94">
        <v>46232</v>
      </c>
      <c r="C869" s="37" t="s">
        <v>387</v>
      </c>
      <c r="D869" s="182" t="s">
        <v>183</v>
      </c>
      <c r="E869" s="95" t="str">
        <f>+VLOOKUP(D869,'Código Tambos'!B:C,2,0)</f>
        <v>Larregain Hnos (TLR)</v>
      </c>
      <c r="F869" s="96">
        <v>5980</v>
      </c>
      <c r="G869" s="97"/>
      <c r="H869" s="97"/>
      <c r="I869" s="95">
        <v>3.1</v>
      </c>
      <c r="J869" s="95"/>
      <c r="K869" s="96"/>
    </row>
    <row r="870" spans="2:11" x14ac:dyDescent="0.3">
      <c r="B870" s="98">
        <v>46232</v>
      </c>
      <c r="C870" s="30" t="s">
        <v>387</v>
      </c>
      <c r="D870" s="183" t="s">
        <v>184</v>
      </c>
      <c r="E870" s="99" t="str">
        <f>+VLOOKUP(D870,'Código Tambos'!B:C,2,0)</f>
        <v>Larregain Hnos (TLR)</v>
      </c>
      <c r="F870" s="100">
        <v>1481</v>
      </c>
      <c r="G870" s="101"/>
      <c r="H870" s="101"/>
      <c r="I870" s="99">
        <v>3</v>
      </c>
      <c r="J870" s="99"/>
      <c r="K870" s="100"/>
    </row>
    <row r="871" spans="2:11" x14ac:dyDescent="0.3">
      <c r="B871" s="88">
        <v>46232</v>
      </c>
      <c r="C871" s="33" t="s">
        <v>391</v>
      </c>
      <c r="D871" s="128">
        <v>13</v>
      </c>
      <c r="E871" s="81" t="str">
        <f>+VLOOKUP(D871,'Código Tambos'!B:C,2,0)</f>
        <v>Estancia Aleluya</v>
      </c>
      <c r="F871" s="83">
        <v>6781</v>
      </c>
      <c r="G871" s="82">
        <v>6750</v>
      </c>
      <c r="H871" s="111">
        <f>+SUM(G871:G871)-SUM(F871:F871)</f>
        <v>-31</v>
      </c>
      <c r="I871" s="81">
        <v>2.9</v>
      </c>
      <c r="J871" s="81"/>
      <c r="K871" s="83"/>
    </row>
    <row r="872" spans="2:11" x14ac:dyDescent="0.3">
      <c r="B872" s="90">
        <v>46233</v>
      </c>
      <c r="C872" s="28" t="s">
        <v>392</v>
      </c>
      <c r="D872" s="136">
        <v>10</v>
      </c>
      <c r="E872" s="91" t="str">
        <f>+VLOOKUP(D872,'Código Tambos'!B:C,2,0)</f>
        <v>Huaca Hue</v>
      </c>
      <c r="F872" s="92">
        <v>9740</v>
      </c>
      <c r="G872" s="93">
        <v>20116</v>
      </c>
      <c r="H872" s="105">
        <f>+SUM(G872:G875)-SUM(F872:F875)</f>
        <v>-110</v>
      </c>
      <c r="I872" s="91">
        <v>3</v>
      </c>
      <c r="J872" s="91"/>
      <c r="K872" s="92"/>
    </row>
    <row r="873" spans="2:11" x14ac:dyDescent="0.3">
      <c r="B873" s="94">
        <v>46233</v>
      </c>
      <c r="C873" s="37" t="s">
        <v>392</v>
      </c>
      <c r="D873" s="125">
        <v>12</v>
      </c>
      <c r="E873" s="95" t="str">
        <f>+VLOOKUP(D873,'Código Tambos'!B:C,2,0)</f>
        <v>Santa Isabel</v>
      </c>
      <c r="F873" s="96">
        <v>2931</v>
      </c>
      <c r="G873" s="97"/>
      <c r="H873" s="97"/>
      <c r="I873" s="95">
        <v>3</v>
      </c>
      <c r="J873" s="95"/>
      <c r="K873" s="96"/>
    </row>
    <row r="874" spans="2:11" x14ac:dyDescent="0.3">
      <c r="B874" s="94">
        <v>46233</v>
      </c>
      <c r="C874" s="37" t="s">
        <v>392</v>
      </c>
      <c r="D874" s="182" t="s">
        <v>183</v>
      </c>
      <c r="E874" s="95" t="str">
        <f>+VLOOKUP(D874,'Código Tambos'!B:C,2,0)</f>
        <v>Larregain Hnos (TLR)</v>
      </c>
      <c r="F874" s="96">
        <v>6033</v>
      </c>
      <c r="G874" s="97"/>
      <c r="H874" s="97"/>
      <c r="I874" s="95">
        <v>3</v>
      </c>
      <c r="J874" s="95"/>
      <c r="K874" s="96"/>
    </row>
    <row r="875" spans="2:11" x14ac:dyDescent="0.3">
      <c r="B875" s="98">
        <v>46233</v>
      </c>
      <c r="C875" s="30" t="s">
        <v>392</v>
      </c>
      <c r="D875" s="183" t="s">
        <v>184</v>
      </c>
      <c r="E875" s="99" t="str">
        <f>+VLOOKUP(D875,'Código Tambos'!B:C,2,0)</f>
        <v>Larregain Hnos (TLR)</v>
      </c>
      <c r="F875" s="100">
        <v>1522</v>
      </c>
      <c r="G875" s="101"/>
      <c r="H875" s="101"/>
      <c r="I875" s="99">
        <v>3</v>
      </c>
      <c r="J875" s="99"/>
      <c r="K875" s="100"/>
    </row>
    <row r="876" spans="2:11" x14ac:dyDescent="0.3">
      <c r="B876" s="84">
        <v>46233</v>
      </c>
      <c r="C876" s="32" t="s">
        <v>393</v>
      </c>
      <c r="D876" s="135">
        <v>23</v>
      </c>
      <c r="E876" s="72" t="str">
        <f>+VLOOKUP(D876,'Código Tambos'!B:C,2,0)</f>
        <v>La Victoria</v>
      </c>
      <c r="F876" s="74">
        <v>11887</v>
      </c>
      <c r="G876" s="73">
        <v>25800</v>
      </c>
      <c r="H876" s="111">
        <f>+SUM(G876:G878)-SUM(F876:F878)</f>
        <v>522</v>
      </c>
      <c r="I876" s="72">
        <v>3.9</v>
      </c>
      <c r="J876" s="72"/>
      <c r="K876" s="74"/>
    </row>
    <row r="877" spans="2:11" x14ac:dyDescent="0.3">
      <c r="B877" s="86">
        <v>46233</v>
      </c>
      <c r="C877" s="76" t="s">
        <v>393</v>
      </c>
      <c r="D877" s="127">
        <v>21</v>
      </c>
      <c r="E877" s="77" t="str">
        <f>+VLOOKUP(D877,'Código Tambos'!B:C,2,0)</f>
        <v>Brivio Eduardo (TBR)</v>
      </c>
      <c r="F877" s="79">
        <v>4791</v>
      </c>
      <c r="G877" s="78"/>
      <c r="H877" s="78"/>
      <c r="I877" s="77">
        <v>2.7</v>
      </c>
      <c r="J877" s="77"/>
      <c r="K877" s="79"/>
    </row>
    <row r="878" spans="2:11" x14ac:dyDescent="0.3">
      <c r="B878" s="88">
        <v>46233</v>
      </c>
      <c r="C878" s="33" t="s">
        <v>393</v>
      </c>
      <c r="D878" s="128">
        <v>13</v>
      </c>
      <c r="E878" s="81" t="str">
        <f>+VLOOKUP(D878,'Código Tambos'!B:C,2,0)</f>
        <v>Estancia Aleluya</v>
      </c>
      <c r="F878" s="83">
        <v>8600</v>
      </c>
      <c r="G878" s="82"/>
      <c r="H878" s="82"/>
      <c r="I878" s="81">
        <v>3.4</v>
      </c>
      <c r="J878" s="81"/>
      <c r="K878" s="83"/>
    </row>
    <row r="879" spans="2:11" x14ac:dyDescent="0.3">
      <c r="B879" s="90">
        <v>46235</v>
      </c>
      <c r="C879" s="28" t="s">
        <v>394</v>
      </c>
      <c r="D879" s="136">
        <v>22</v>
      </c>
      <c r="E879" s="91" t="str">
        <f>+VLOOKUP(D879,'Código Tambos'!B:C,2,0)</f>
        <v>Trueba Roberto</v>
      </c>
      <c r="F879" s="92">
        <v>2233</v>
      </c>
      <c r="G879" s="93">
        <v>9226</v>
      </c>
      <c r="H879" s="93"/>
      <c r="I879" s="91">
        <v>3.1</v>
      </c>
      <c r="J879" s="91"/>
      <c r="K879" s="92"/>
    </row>
    <row r="880" spans="2:11" x14ac:dyDescent="0.3">
      <c r="B880" s="98">
        <v>46235</v>
      </c>
      <c r="C880" s="30" t="s">
        <v>394</v>
      </c>
      <c r="D880" s="126">
        <v>13</v>
      </c>
      <c r="E880" s="99" t="str">
        <f>+VLOOKUP(D880,'Código Tambos'!B:C,2,0)</f>
        <v>Estancia Aleluya</v>
      </c>
      <c r="F880" s="100">
        <v>6960</v>
      </c>
      <c r="G880" s="101"/>
      <c r="H880" s="101"/>
      <c r="I880" s="99">
        <v>2.5</v>
      </c>
      <c r="J880" s="99"/>
      <c r="K880" s="100"/>
    </row>
    <row r="881" spans="2:14" x14ac:dyDescent="0.3">
      <c r="B881" s="84">
        <v>46236</v>
      </c>
      <c r="C881" s="32" t="s">
        <v>395</v>
      </c>
      <c r="D881" s="135">
        <v>26</v>
      </c>
      <c r="E881" s="72" t="e">
        <f>+VLOOKUP(D881,'Código Tambos'!B:C,2,0)</f>
        <v>#N/A</v>
      </c>
      <c r="F881" s="74">
        <v>6115</v>
      </c>
      <c r="G881" s="73">
        <v>16456</v>
      </c>
      <c r="H881" s="111">
        <f>+SUM(G879:G883)-SUM(F879:F883)</f>
        <v>33</v>
      </c>
      <c r="I881" s="72">
        <v>4</v>
      </c>
      <c r="J881" s="72"/>
      <c r="K881" s="74"/>
    </row>
    <row r="882" spans="2:14" x14ac:dyDescent="0.3">
      <c r="B882" s="86">
        <v>46236</v>
      </c>
      <c r="C882" s="76" t="s">
        <v>395</v>
      </c>
      <c r="D882" s="127">
        <v>27</v>
      </c>
      <c r="E882" s="77" t="e">
        <f>+VLOOKUP(D882,'Código Tambos'!B:C,2,0)</f>
        <v>#N/A</v>
      </c>
      <c r="F882" s="79">
        <v>2836</v>
      </c>
      <c r="G882" s="78"/>
      <c r="H882" s="78"/>
      <c r="I882" s="77">
        <v>3.4</v>
      </c>
      <c r="J882" s="77"/>
      <c r="K882" s="79"/>
    </row>
    <row r="883" spans="2:14" x14ac:dyDescent="0.3">
      <c r="B883" s="88">
        <v>46236</v>
      </c>
      <c r="C883" s="33" t="s">
        <v>395</v>
      </c>
      <c r="D883" s="128">
        <v>11</v>
      </c>
      <c r="E883" s="81" t="str">
        <f>+VLOOKUP(D883,'Código Tambos'!B:C,2,0)</f>
        <v>Don Enrique (Amalina)</v>
      </c>
      <c r="F883" s="83">
        <v>7505</v>
      </c>
      <c r="G883" s="82"/>
      <c r="H883" s="82"/>
      <c r="I883" s="81">
        <v>3</v>
      </c>
      <c r="J883" s="81"/>
      <c r="K883" s="83"/>
    </row>
    <row r="884" spans="2:14" x14ac:dyDescent="0.3">
      <c r="B884" s="90">
        <v>46236</v>
      </c>
      <c r="C884" s="28" t="s">
        <v>396</v>
      </c>
      <c r="D884" s="136">
        <v>23</v>
      </c>
      <c r="E884" s="91" t="str">
        <f>+VLOOKUP(D884,'Código Tambos'!B:C,2,0)</f>
        <v>La Victoria</v>
      </c>
      <c r="F884" s="92">
        <v>11942</v>
      </c>
      <c r="G884" s="93">
        <v>21693</v>
      </c>
      <c r="H884" s="105">
        <f>+SUM(G884:G886)-SUM(F884:F886)</f>
        <v>0</v>
      </c>
      <c r="I884" s="91">
        <v>3.6</v>
      </c>
      <c r="J884" s="91"/>
      <c r="K884" s="92"/>
    </row>
    <row r="885" spans="2:14" x14ac:dyDescent="0.3">
      <c r="B885" s="94">
        <v>46236</v>
      </c>
      <c r="C885" s="37" t="s">
        <v>396</v>
      </c>
      <c r="D885" s="125">
        <v>21</v>
      </c>
      <c r="E885" s="95" t="str">
        <f>+VLOOKUP(D885,'Código Tambos'!B:C,2,0)</f>
        <v>Brivio Eduardo (TBR)</v>
      </c>
      <c r="F885" s="96">
        <v>2624</v>
      </c>
      <c r="G885" s="97"/>
      <c r="H885" s="97"/>
      <c r="I885" s="95">
        <v>2.6</v>
      </c>
      <c r="J885" s="95"/>
      <c r="K885" s="96"/>
      <c r="N885" s="185"/>
    </row>
    <row r="886" spans="2:14" x14ac:dyDescent="0.3">
      <c r="B886" s="98">
        <v>46236</v>
      </c>
      <c r="C886" s="30" t="s">
        <v>396</v>
      </c>
      <c r="D886" s="126">
        <v>13</v>
      </c>
      <c r="E886" s="99" t="str">
        <f>+VLOOKUP(D886,'Código Tambos'!B:C,2,0)</f>
        <v>Estancia Aleluya</v>
      </c>
      <c r="F886" s="100">
        <v>7127</v>
      </c>
      <c r="G886" s="101"/>
      <c r="H886" s="101"/>
      <c r="I886" s="99">
        <v>2.5</v>
      </c>
      <c r="J886" s="99"/>
      <c r="K886" s="100"/>
    </row>
    <row r="887" spans="2:14" x14ac:dyDescent="0.3">
      <c r="B887" s="84">
        <v>46236</v>
      </c>
      <c r="C887" s="32" t="s">
        <v>397</v>
      </c>
      <c r="D887" s="135">
        <v>10</v>
      </c>
      <c r="E887" s="72" t="str">
        <f>+VLOOKUP(D887,'Código Tambos'!B:C,2,0)</f>
        <v>Huaca Hue</v>
      </c>
      <c r="F887" s="74">
        <v>9546</v>
      </c>
      <c r="G887" s="73">
        <v>29690</v>
      </c>
      <c r="H887" s="111">
        <f>+SUM(G887:G891)-SUM(F887:F891)</f>
        <v>-209</v>
      </c>
      <c r="I887" s="72">
        <v>3.1</v>
      </c>
      <c r="J887" s="72"/>
      <c r="K887" s="74"/>
    </row>
    <row r="888" spans="2:14" x14ac:dyDescent="0.3">
      <c r="B888" s="86">
        <v>46236</v>
      </c>
      <c r="C888" s="76" t="s">
        <v>397</v>
      </c>
      <c r="D888" s="180" t="s">
        <v>183</v>
      </c>
      <c r="E888" s="77" t="str">
        <f>+VLOOKUP(D888,'Código Tambos'!B:C,2,0)</f>
        <v>Larregain Hnos (TLR)</v>
      </c>
      <c r="F888" s="79">
        <v>5638</v>
      </c>
      <c r="G888" s="78"/>
      <c r="H888" s="78"/>
      <c r="I888" s="77">
        <v>2</v>
      </c>
      <c r="J888" s="77"/>
      <c r="K888" s="79"/>
    </row>
    <row r="889" spans="2:14" x14ac:dyDescent="0.3">
      <c r="B889" s="86">
        <v>46236</v>
      </c>
      <c r="C889" s="76" t="s">
        <v>397</v>
      </c>
      <c r="D889" s="180" t="s">
        <v>184</v>
      </c>
      <c r="E889" s="77" t="str">
        <f>+VLOOKUP(D889,'Código Tambos'!B:C,2,0)</f>
        <v>Larregain Hnos (TLR)</v>
      </c>
      <c r="F889" s="79">
        <v>1441</v>
      </c>
      <c r="G889" s="78"/>
      <c r="H889" s="78"/>
      <c r="I889" s="77">
        <v>3.5</v>
      </c>
      <c r="J889" s="77"/>
      <c r="K889" s="79"/>
    </row>
    <row r="890" spans="2:14" x14ac:dyDescent="0.3">
      <c r="B890" s="86">
        <v>46236</v>
      </c>
      <c r="C890" s="76" t="s">
        <v>397</v>
      </c>
      <c r="D890" s="127">
        <v>12</v>
      </c>
      <c r="E890" s="77" t="str">
        <f>+VLOOKUP(D890,'Código Tambos'!B:C,2,0)</f>
        <v>Santa Isabel</v>
      </c>
      <c r="F890" s="79">
        <v>2807</v>
      </c>
      <c r="G890" s="78"/>
      <c r="H890" s="78"/>
      <c r="I890" s="77">
        <v>4</v>
      </c>
      <c r="J890" s="77"/>
      <c r="K890" s="79"/>
    </row>
    <row r="891" spans="2:14" x14ac:dyDescent="0.3">
      <c r="B891" s="88">
        <v>46236</v>
      </c>
      <c r="C891" s="33" t="s">
        <v>397</v>
      </c>
      <c r="D891" s="128">
        <v>25</v>
      </c>
      <c r="E891" s="81" t="str">
        <f>+VLOOKUP(D891,'Código Tambos'!B:C,2,0)</f>
        <v>Viejo Ceibo</v>
      </c>
      <c r="F891" s="83">
        <v>10467</v>
      </c>
      <c r="G891" s="82"/>
      <c r="H891" s="82"/>
      <c r="I891" s="81">
        <v>4</v>
      </c>
      <c r="J891" s="81"/>
      <c r="K891" s="83"/>
    </row>
    <row r="892" spans="2:14" x14ac:dyDescent="0.3">
      <c r="B892" s="90">
        <v>46236</v>
      </c>
      <c r="C892" s="28" t="s">
        <v>398</v>
      </c>
      <c r="D892" s="136">
        <v>22</v>
      </c>
      <c r="E892" s="91" t="str">
        <f>+VLOOKUP(D892,'Código Tambos'!B:C,2,0)</f>
        <v>Trueba Roberto</v>
      </c>
      <c r="F892" s="92">
        <v>5483</v>
      </c>
      <c r="G892" s="93">
        <v>32156</v>
      </c>
      <c r="H892" s="105">
        <f>+SUM(G892:G896)-SUM(F892:F896)</f>
        <v>12</v>
      </c>
      <c r="I892" s="91">
        <v>4.5999999999999996</v>
      </c>
      <c r="J892" s="91"/>
      <c r="K892" s="92"/>
    </row>
    <row r="893" spans="2:14" x14ac:dyDescent="0.3">
      <c r="B893" s="94">
        <v>46236</v>
      </c>
      <c r="C893" s="37" t="s">
        <v>398</v>
      </c>
      <c r="D893" s="125">
        <v>13</v>
      </c>
      <c r="E893" s="95" t="str">
        <f>+VLOOKUP(D893,'Código Tambos'!B:C,2,0)</f>
        <v>Estancia Aleluya</v>
      </c>
      <c r="F893" s="96">
        <v>8624</v>
      </c>
      <c r="G893" s="97"/>
      <c r="H893" s="97"/>
      <c r="I893" s="95">
        <v>4.2</v>
      </c>
      <c r="J893" s="95"/>
      <c r="K893" s="96"/>
    </row>
    <row r="894" spans="2:14" x14ac:dyDescent="0.3">
      <c r="B894" s="94">
        <v>46236</v>
      </c>
      <c r="C894" s="37" t="s">
        <v>398</v>
      </c>
      <c r="D894" s="125">
        <v>27</v>
      </c>
      <c r="E894" s="95" t="e">
        <f>+VLOOKUP(D894,'Código Tambos'!B:C,2,0)</f>
        <v>#N/A</v>
      </c>
      <c r="F894" s="96">
        <v>2650</v>
      </c>
      <c r="G894" s="97"/>
      <c r="H894" s="97"/>
      <c r="I894" s="95">
        <v>4.2</v>
      </c>
      <c r="J894" s="95"/>
      <c r="K894" s="96"/>
    </row>
    <row r="895" spans="2:14" x14ac:dyDescent="0.3">
      <c r="B895" s="94">
        <v>46236</v>
      </c>
      <c r="C895" s="37" t="s">
        <v>398</v>
      </c>
      <c r="D895" s="125">
        <v>10</v>
      </c>
      <c r="E895" s="95" t="str">
        <f>+VLOOKUP(D895,'Código Tambos'!B:C,2,0)</f>
        <v>Huaca Hue</v>
      </c>
      <c r="F895" s="96">
        <v>9294</v>
      </c>
      <c r="G895" s="97"/>
      <c r="H895" s="97"/>
      <c r="I895" s="95">
        <v>3.3</v>
      </c>
      <c r="J895" s="95"/>
      <c r="K895" s="96"/>
    </row>
    <row r="896" spans="2:14" x14ac:dyDescent="0.3">
      <c r="B896" s="98">
        <v>46236</v>
      </c>
      <c r="C896" s="30" t="s">
        <v>398</v>
      </c>
      <c r="D896" s="126">
        <v>11</v>
      </c>
      <c r="E896" s="99" t="str">
        <f>+VLOOKUP(D896,'Código Tambos'!B:C,2,0)</f>
        <v>Don Enrique (Amalina)</v>
      </c>
      <c r="F896" s="100">
        <v>6093</v>
      </c>
      <c r="G896" s="101"/>
      <c r="H896" s="101"/>
      <c r="I896" s="99">
        <v>4.0999999999999996</v>
      </c>
      <c r="J896" s="99"/>
      <c r="K896" s="100"/>
    </row>
    <row r="897" spans="2:11" x14ac:dyDescent="0.3">
      <c r="B897" s="84">
        <v>46237</v>
      </c>
      <c r="C897" s="32" t="s">
        <v>402</v>
      </c>
      <c r="D897" s="135">
        <v>23</v>
      </c>
      <c r="E897" s="72" t="str">
        <f>+VLOOKUP(D897,'Código Tambos'!B:C,2,0)</f>
        <v>La Victoria</v>
      </c>
      <c r="F897" s="74">
        <v>11863</v>
      </c>
      <c r="G897" s="73">
        <v>25458</v>
      </c>
      <c r="H897" s="111">
        <f>+SUM(G897:G899)-SUM(F897:F899)</f>
        <v>-100</v>
      </c>
      <c r="I897" s="72">
        <v>3.7</v>
      </c>
      <c r="J897" s="72"/>
      <c r="K897" s="74"/>
    </row>
    <row r="898" spans="2:11" x14ac:dyDescent="0.3">
      <c r="B898" s="86">
        <v>46237</v>
      </c>
      <c r="C898" s="76" t="s">
        <v>402</v>
      </c>
      <c r="D898" s="127">
        <v>21</v>
      </c>
      <c r="E898" s="77" t="str">
        <f>+VLOOKUP(D898,'Código Tambos'!B:C,2,0)</f>
        <v>Brivio Eduardo (TBR)</v>
      </c>
      <c r="F898" s="79">
        <v>4914</v>
      </c>
      <c r="G898" s="78"/>
      <c r="H898" s="78"/>
      <c r="I898" s="77">
        <v>2.6</v>
      </c>
      <c r="J898" s="77"/>
      <c r="K898" s="79"/>
    </row>
    <row r="899" spans="2:11" x14ac:dyDescent="0.3">
      <c r="B899" s="88">
        <v>46237</v>
      </c>
      <c r="C899" s="33" t="s">
        <v>402</v>
      </c>
      <c r="D899" s="128">
        <v>13</v>
      </c>
      <c r="E899" s="81" t="str">
        <f>+VLOOKUP(D899,'Código Tambos'!B:C,2,0)</f>
        <v>Estancia Aleluya</v>
      </c>
      <c r="F899" s="83">
        <v>8781</v>
      </c>
      <c r="G899" s="82"/>
      <c r="H899" s="82"/>
      <c r="I899" s="81">
        <v>3.1</v>
      </c>
      <c r="J899" s="81"/>
      <c r="K899" s="83"/>
    </row>
    <row r="900" spans="2:11" x14ac:dyDescent="0.3">
      <c r="B900" s="90">
        <v>46237</v>
      </c>
      <c r="C900" s="28" t="s">
        <v>403</v>
      </c>
      <c r="D900" s="136">
        <v>26</v>
      </c>
      <c r="E900" s="91" t="e">
        <f>+VLOOKUP(D900,'Código Tambos'!B:C,2,0)</f>
        <v>#N/A</v>
      </c>
      <c r="F900" s="92">
        <v>6328</v>
      </c>
      <c r="G900" s="93">
        <v>19336</v>
      </c>
      <c r="H900" s="105">
        <f>+SUM(G900:G904)-SUM(F900:F904)</f>
        <v>13</v>
      </c>
      <c r="I900" s="91">
        <v>3.5</v>
      </c>
      <c r="J900" s="91"/>
      <c r="K900" s="92"/>
    </row>
    <row r="901" spans="2:11" x14ac:dyDescent="0.3">
      <c r="B901" s="94">
        <v>46237</v>
      </c>
      <c r="C901" s="37" t="s">
        <v>403</v>
      </c>
      <c r="D901" s="125">
        <v>12</v>
      </c>
      <c r="E901" s="95" t="str">
        <f>+VLOOKUP(D901,'Código Tambos'!B:C,2,0)</f>
        <v>Santa Isabel</v>
      </c>
      <c r="F901" s="96">
        <v>3172</v>
      </c>
      <c r="G901" s="97"/>
      <c r="H901" s="97"/>
      <c r="I901" s="95">
        <v>3.4</v>
      </c>
      <c r="J901" s="95"/>
      <c r="K901" s="96"/>
    </row>
    <row r="902" spans="2:11" x14ac:dyDescent="0.3">
      <c r="B902" s="94">
        <v>46237</v>
      </c>
      <c r="C902" s="37" t="s">
        <v>403</v>
      </c>
      <c r="D902" s="182" t="s">
        <v>183</v>
      </c>
      <c r="E902" s="95" t="str">
        <f>+VLOOKUP(D902,'Código Tambos'!B:C,2,0)</f>
        <v>Larregain Hnos (TLR)</v>
      </c>
      <c r="F902" s="96">
        <v>5586</v>
      </c>
      <c r="G902" s="97"/>
      <c r="H902" s="97"/>
      <c r="I902" s="95">
        <v>3.4</v>
      </c>
      <c r="J902" s="95"/>
      <c r="K902" s="96"/>
    </row>
    <row r="903" spans="2:11" x14ac:dyDescent="0.3">
      <c r="B903" s="94">
        <v>46237</v>
      </c>
      <c r="C903" s="37" t="s">
        <v>403</v>
      </c>
      <c r="D903" s="182" t="s">
        <v>184</v>
      </c>
      <c r="E903" s="95" t="str">
        <f>+VLOOKUP(D903,'Código Tambos'!B:C,2,0)</f>
        <v>Larregain Hnos (TLR)</v>
      </c>
      <c r="F903" s="96">
        <v>1467</v>
      </c>
      <c r="G903" s="97"/>
      <c r="H903" s="97"/>
      <c r="I903" s="95">
        <v>3.8</v>
      </c>
      <c r="J903" s="95"/>
      <c r="K903" s="96"/>
    </row>
    <row r="904" spans="2:11" x14ac:dyDescent="0.3">
      <c r="B904" s="98">
        <v>46237</v>
      </c>
      <c r="C904" s="30" t="s">
        <v>403</v>
      </c>
      <c r="D904" s="126">
        <v>25</v>
      </c>
      <c r="E904" s="99" t="str">
        <f>+VLOOKUP(D904,'Código Tambos'!B:C,2,0)</f>
        <v>Viejo Ceibo</v>
      </c>
      <c r="F904" s="100">
        <v>2770</v>
      </c>
      <c r="G904" s="101"/>
      <c r="H904" s="101"/>
      <c r="I904" s="99">
        <v>3</v>
      </c>
      <c r="J904" s="99"/>
      <c r="K904" s="100"/>
    </row>
    <row r="905" spans="2:11" x14ac:dyDescent="0.3">
      <c r="B905" s="107">
        <v>46237</v>
      </c>
      <c r="C905" s="108" t="s">
        <v>400</v>
      </c>
      <c r="D905" s="174">
        <v>13</v>
      </c>
      <c r="E905" s="109" t="str">
        <f>+VLOOKUP(D905,'Código Tambos'!B:C,2,0)</f>
        <v>Estancia Aleluya</v>
      </c>
      <c r="F905" s="110">
        <v>7051</v>
      </c>
      <c r="G905" s="111">
        <v>6989</v>
      </c>
      <c r="H905" s="111">
        <f>+SUM(G905:G905)-SUM(F905:F905)</f>
        <v>-62</v>
      </c>
      <c r="I905" s="109">
        <v>4</v>
      </c>
      <c r="J905" s="109"/>
      <c r="K905" s="110"/>
    </row>
    <row r="906" spans="2:11" x14ac:dyDescent="0.3">
      <c r="B906" s="90">
        <v>46237</v>
      </c>
      <c r="C906" s="28" t="s">
        <v>399</v>
      </c>
      <c r="D906" s="136">
        <v>22</v>
      </c>
      <c r="E906" s="91" t="str">
        <f>+VLOOKUP(D906,'Código Tambos'!B:C,2,0)</f>
        <v>Trueba Roberto</v>
      </c>
      <c r="F906" s="92">
        <v>5331</v>
      </c>
      <c r="G906" s="93">
        <v>25458</v>
      </c>
      <c r="H906" s="105">
        <f>+SUM(G906:G909)-SUM(F906:F909)</f>
        <v>-708</v>
      </c>
      <c r="I906" s="91">
        <v>3.7</v>
      </c>
      <c r="J906" s="91"/>
      <c r="K906" s="92"/>
    </row>
    <row r="907" spans="2:11" x14ac:dyDescent="0.3">
      <c r="B907" s="94">
        <v>46237</v>
      </c>
      <c r="C907" s="37" t="s">
        <v>399</v>
      </c>
      <c r="D907" s="125">
        <v>27</v>
      </c>
      <c r="E907" s="95" t="e">
        <f>+VLOOKUP(D907,'Código Tambos'!B:C,2,0)</f>
        <v>#N/A</v>
      </c>
      <c r="F907" s="96">
        <v>2901</v>
      </c>
      <c r="G907" s="97"/>
      <c r="H907" s="97"/>
      <c r="I907" s="95">
        <v>3.9</v>
      </c>
      <c r="J907" s="95"/>
      <c r="K907" s="96"/>
    </row>
    <row r="908" spans="2:11" x14ac:dyDescent="0.3">
      <c r="B908" s="94">
        <v>46237</v>
      </c>
      <c r="C908" s="37" t="s">
        <v>399</v>
      </c>
      <c r="D908" s="125">
        <v>10</v>
      </c>
      <c r="E908" s="95" t="str">
        <f>+VLOOKUP(D908,'Código Tambos'!B:C,2,0)</f>
        <v>Huaca Hue</v>
      </c>
      <c r="F908" s="96">
        <v>9294</v>
      </c>
      <c r="G908" s="97"/>
      <c r="H908" s="97"/>
      <c r="I908" s="95">
        <v>3</v>
      </c>
      <c r="J908" s="95"/>
      <c r="K908" s="96"/>
    </row>
    <row r="909" spans="2:11" x14ac:dyDescent="0.3">
      <c r="B909" s="98">
        <v>46237</v>
      </c>
      <c r="C909" s="30" t="s">
        <v>399</v>
      </c>
      <c r="D909" s="126">
        <v>11</v>
      </c>
      <c r="E909" s="99" t="str">
        <f>+VLOOKUP(D909,'Código Tambos'!B:C,2,0)</f>
        <v>Don Enrique (Amalina)</v>
      </c>
      <c r="F909" s="100">
        <v>8640</v>
      </c>
      <c r="G909" s="101"/>
      <c r="H909" s="101"/>
      <c r="I909" s="99">
        <v>4.0999999999999996</v>
      </c>
      <c r="J909" s="99"/>
      <c r="K909" s="100"/>
    </row>
    <row r="910" spans="2:11" x14ac:dyDescent="0.3">
      <c r="B910" s="84">
        <v>46238</v>
      </c>
      <c r="C910" s="32" t="s">
        <v>401</v>
      </c>
      <c r="D910" s="186" t="s">
        <v>183</v>
      </c>
      <c r="E910" s="72" t="str">
        <f>+VLOOKUP(D910,'Código Tambos'!B:C,2,0)</f>
        <v>Larregain Hnos (TLR)</v>
      </c>
      <c r="F910" s="74">
        <v>5694</v>
      </c>
      <c r="G910" s="73">
        <v>27544</v>
      </c>
      <c r="H910" s="111">
        <f>+SUM(G910:G914)-SUM(F910:F914)</f>
        <v>-4</v>
      </c>
      <c r="I910" s="72">
        <v>3.3</v>
      </c>
      <c r="J910" s="72"/>
      <c r="K910" s="74"/>
    </row>
    <row r="911" spans="2:11" x14ac:dyDescent="0.3">
      <c r="B911" s="86">
        <v>46238</v>
      </c>
      <c r="C911" s="76" t="s">
        <v>401</v>
      </c>
      <c r="D911" s="180" t="s">
        <v>184</v>
      </c>
      <c r="E911" s="77" t="str">
        <f>+VLOOKUP(D911,'Código Tambos'!B:C,2,0)</f>
        <v>Larregain Hnos (TLR)</v>
      </c>
      <c r="F911" s="79">
        <v>1392</v>
      </c>
      <c r="G911" s="78"/>
      <c r="H911" s="78"/>
      <c r="I911" s="77">
        <v>3.6</v>
      </c>
      <c r="J911" s="77"/>
      <c r="K911" s="79"/>
    </row>
    <row r="912" spans="2:11" x14ac:dyDescent="0.3">
      <c r="B912" s="86">
        <v>46238</v>
      </c>
      <c r="C912" s="76" t="s">
        <v>401</v>
      </c>
      <c r="D912" s="127">
        <v>12</v>
      </c>
      <c r="E912" s="77" t="str">
        <f>+VLOOKUP(D912,'Código Tambos'!B:C,2,0)</f>
        <v>Santa Isabel</v>
      </c>
      <c r="F912" s="79">
        <v>3314</v>
      </c>
      <c r="G912" s="78"/>
      <c r="H912" s="78"/>
      <c r="I912" s="77">
        <v>4.7</v>
      </c>
      <c r="J912" s="77"/>
      <c r="K912" s="79"/>
    </row>
    <row r="913" spans="2:13" x14ac:dyDescent="0.3">
      <c r="B913" s="86">
        <v>46238</v>
      </c>
      <c r="C913" s="76" t="s">
        <v>401</v>
      </c>
      <c r="D913" s="127">
        <v>26</v>
      </c>
      <c r="E913" s="77" t="e">
        <f>+VLOOKUP(D913,'Código Tambos'!B:C,2,0)</f>
        <v>#N/A</v>
      </c>
      <c r="F913" s="79">
        <v>6148</v>
      </c>
      <c r="G913" s="78"/>
      <c r="H913" s="78"/>
      <c r="I913" s="77">
        <v>4.3</v>
      </c>
      <c r="J913" s="77"/>
      <c r="K913" s="79"/>
    </row>
    <row r="914" spans="2:13" x14ac:dyDescent="0.3">
      <c r="B914" s="88">
        <v>46238</v>
      </c>
      <c r="C914" s="33" t="s">
        <v>401</v>
      </c>
      <c r="D914" s="128">
        <v>25</v>
      </c>
      <c r="E914" s="81" t="str">
        <f>+VLOOKUP(D914,'Código Tambos'!B:C,2,0)</f>
        <v>Viejo Ceibo</v>
      </c>
      <c r="F914" s="83">
        <v>11000</v>
      </c>
      <c r="G914" s="184"/>
      <c r="H914" s="82"/>
      <c r="I914" s="81">
        <v>4.5</v>
      </c>
      <c r="J914" s="81"/>
      <c r="K914" s="83"/>
      <c r="L914" s="187">
        <v>11200</v>
      </c>
      <c r="M914" t="s">
        <v>405</v>
      </c>
    </row>
    <row r="915" spans="2:13" x14ac:dyDescent="0.3">
      <c r="B915" s="90">
        <v>46238</v>
      </c>
      <c r="C915" s="28" t="s">
        <v>404</v>
      </c>
      <c r="D915" s="136">
        <v>23</v>
      </c>
      <c r="E915" s="91" t="str">
        <f>+VLOOKUP(D915,'Código Tambos'!B:C,2,0)</f>
        <v>La Victoria</v>
      </c>
      <c r="F915" s="92">
        <v>12492</v>
      </c>
      <c r="G915" s="93">
        <v>26190</v>
      </c>
      <c r="H915" s="105">
        <f>+SUM(G915:G917)-SUM(F915:F917)</f>
        <v>398</v>
      </c>
      <c r="I915" s="91">
        <v>3.7</v>
      </c>
      <c r="J915" s="91"/>
      <c r="K915" s="92"/>
    </row>
    <row r="916" spans="2:13" x14ac:dyDescent="0.3">
      <c r="B916" s="94">
        <v>46238</v>
      </c>
      <c r="C916" s="37" t="s">
        <v>404</v>
      </c>
      <c r="D916" s="125">
        <v>21</v>
      </c>
      <c r="E916" s="95" t="str">
        <f>+VLOOKUP(D916,'Código Tambos'!B:C,2,0)</f>
        <v>Brivio Eduardo (TBR)</v>
      </c>
      <c r="F916" s="96">
        <v>4851</v>
      </c>
      <c r="G916" s="97"/>
      <c r="H916" s="97"/>
      <c r="I916" s="95">
        <v>2.6</v>
      </c>
      <c r="J916" s="95"/>
      <c r="K916" s="96"/>
    </row>
    <row r="917" spans="2:13" x14ac:dyDescent="0.3">
      <c r="B917" s="98">
        <v>46238</v>
      </c>
      <c r="C917" s="30" t="s">
        <v>404</v>
      </c>
      <c r="D917" s="126">
        <v>13</v>
      </c>
      <c r="E917" s="99" t="str">
        <f>+VLOOKUP(D917,'Código Tambos'!B:C,2,0)</f>
        <v>Estancia Aleluya</v>
      </c>
      <c r="F917" s="100">
        <v>8449</v>
      </c>
      <c r="G917" s="101"/>
      <c r="H917" s="101"/>
      <c r="I917" s="99">
        <v>2.8</v>
      </c>
      <c r="J917" s="99"/>
      <c r="K917" s="100"/>
    </row>
    <row r="918" spans="2:13" x14ac:dyDescent="0.3">
      <c r="B918" s="107">
        <v>46238</v>
      </c>
      <c r="C918" s="108" t="s">
        <v>406</v>
      </c>
      <c r="D918" s="174">
        <v>13</v>
      </c>
      <c r="E918" s="109" t="str">
        <f>+VLOOKUP(D918,'Código Tambos'!B:C,2,0)</f>
        <v>Estancia Aleluya</v>
      </c>
      <c r="F918" s="110">
        <v>7001</v>
      </c>
      <c r="G918" s="111">
        <v>6989</v>
      </c>
      <c r="H918" s="111">
        <f>+SUM(G918:G918)-SUM(F918:F918)</f>
        <v>-12</v>
      </c>
      <c r="I918" s="109">
        <v>4.0999999999999996</v>
      </c>
      <c r="J918" s="109"/>
      <c r="K918" s="110"/>
    </row>
    <row r="919" spans="2:13" x14ac:dyDescent="0.3">
      <c r="B919" s="90">
        <v>46238</v>
      </c>
      <c r="C919" s="28" t="s">
        <v>407</v>
      </c>
      <c r="D919" s="136">
        <v>22</v>
      </c>
      <c r="E919" s="91" t="str">
        <f>+VLOOKUP(D919,'Código Tambos'!B:C,2,0)</f>
        <v>Trueba Roberto</v>
      </c>
      <c r="F919" s="92">
        <v>5408</v>
      </c>
      <c r="G919" s="93">
        <v>26464</v>
      </c>
      <c r="H919" s="105">
        <f>+SUM(G919:G922)-SUM(F919:F922)</f>
        <v>53</v>
      </c>
      <c r="I919" s="91">
        <v>3.9</v>
      </c>
      <c r="J919" s="91"/>
      <c r="K919" s="92"/>
    </row>
    <row r="920" spans="2:13" x14ac:dyDescent="0.3">
      <c r="B920" s="94">
        <v>46238</v>
      </c>
      <c r="C920" s="37" t="s">
        <v>407</v>
      </c>
      <c r="D920" s="125">
        <v>27</v>
      </c>
      <c r="E920" s="95" t="e">
        <f>+VLOOKUP(D920,'Código Tambos'!B:C,2,0)</f>
        <v>#N/A</v>
      </c>
      <c r="F920" s="96">
        <v>3534</v>
      </c>
      <c r="G920" s="97"/>
      <c r="H920" s="97"/>
      <c r="I920" s="95">
        <v>4</v>
      </c>
      <c r="J920" s="95"/>
      <c r="K920" s="96"/>
    </row>
    <row r="921" spans="2:13" x14ac:dyDescent="0.3">
      <c r="B921" s="94">
        <v>46238</v>
      </c>
      <c r="C921" s="37" t="s">
        <v>407</v>
      </c>
      <c r="D921" s="125">
        <v>10</v>
      </c>
      <c r="E921" s="95" t="str">
        <f>+VLOOKUP(D921,'Código Tambos'!B:C,2,0)</f>
        <v>Huaca Hue</v>
      </c>
      <c r="F921" s="96">
        <v>9869</v>
      </c>
      <c r="G921" s="97"/>
      <c r="H921" s="97"/>
      <c r="I921" s="95">
        <v>2.9</v>
      </c>
      <c r="J921" s="95"/>
      <c r="K921" s="96"/>
    </row>
    <row r="922" spans="2:13" x14ac:dyDescent="0.3">
      <c r="B922" s="98">
        <v>46238</v>
      </c>
      <c r="C922" s="30" t="s">
        <v>407</v>
      </c>
      <c r="D922" s="126">
        <v>11</v>
      </c>
      <c r="E922" s="99" t="str">
        <f>+VLOOKUP(D922,'Código Tambos'!B:C,2,0)</f>
        <v>Don Enrique (Amalina)</v>
      </c>
      <c r="F922" s="100">
        <v>7600</v>
      </c>
      <c r="G922" s="101"/>
      <c r="H922" s="101"/>
      <c r="I922" s="99">
        <v>4.0999999999999996</v>
      </c>
      <c r="J922" s="99"/>
      <c r="K922" s="100"/>
    </row>
    <row r="923" spans="2:13" x14ac:dyDescent="0.3">
      <c r="B923" s="84">
        <v>46239</v>
      </c>
      <c r="C923" s="32" t="s">
        <v>408</v>
      </c>
      <c r="D923" s="135">
        <v>12</v>
      </c>
      <c r="E923" s="72" t="str">
        <f>+VLOOKUP(D923,'Código Tambos'!B:C,2,0)</f>
        <v>Santa Isabel</v>
      </c>
      <c r="F923" s="74">
        <v>3500</v>
      </c>
      <c r="G923" s="73">
        <v>21042</v>
      </c>
      <c r="H923" s="111">
        <f>+SUM(G923:G926)-SUM(F923:F926)</f>
        <v>51</v>
      </c>
      <c r="I923" s="72">
        <v>3.8</v>
      </c>
      <c r="J923" s="72"/>
      <c r="K923" s="74"/>
    </row>
    <row r="924" spans="2:13" x14ac:dyDescent="0.3">
      <c r="B924" s="86">
        <v>46239</v>
      </c>
      <c r="C924" s="76" t="s">
        <v>408</v>
      </c>
      <c r="D924" s="180" t="s">
        <v>183</v>
      </c>
      <c r="E924" s="77" t="str">
        <f>+VLOOKUP(D924,'Código Tambos'!B:C,2,0)</f>
        <v>Larregain Hnos (TLR)</v>
      </c>
      <c r="F924" s="79">
        <v>5457</v>
      </c>
      <c r="G924" s="78"/>
      <c r="H924" s="78"/>
      <c r="I924" s="77">
        <v>3.1</v>
      </c>
      <c r="J924" s="77"/>
      <c r="K924" s="79"/>
    </row>
    <row r="925" spans="2:13" x14ac:dyDescent="0.3">
      <c r="B925" s="86">
        <v>46239</v>
      </c>
      <c r="C925" s="76" t="s">
        <v>408</v>
      </c>
      <c r="D925" s="180" t="s">
        <v>184</v>
      </c>
      <c r="E925" s="77" t="str">
        <f>+VLOOKUP(D925,'Código Tambos'!B:C,2,0)</f>
        <v>Larregain Hnos (TLR)</v>
      </c>
      <c r="F925" s="79">
        <v>1430</v>
      </c>
      <c r="G925" s="78"/>
      <c r="H925" s="78"/>
      <c r="I925" s="77">
        <v>3.8</v>
      </c>
      <c r="J925" s="77"/>
      <c r="K925" s="79"/>
    </row>
    <row r="926" spans="2:13" x14ac:dyDescent="0.3">
      <c r="B926" s="88">
        <v>46239</v>
      </c>
      <c r="C926" s="33" t="s">
        <v>408</v>
      </c>
      <c r="D926" s="128">
        <v>25</v>
      </c>
      <c r="E926" s="81" t="str">
        <f>+VLOOKUP(D926,'Código Tambos'!B:C,2,0)</f>
        <v>Viejo Ceibo</v>
      </c>
      <c r="F926" s="83">
        <v>10604</v>
      </c>
      <c r="G926" s="82"/>
      <c r="H926" s="82"/>
      <c r="I926" s="81">
        <v>3.9</v>
      </c>
      <c r="J926" s="81"/>
      <c r="K926" s="83"/>
    </row>
    <row r="927" spans="2:13" x14ac:dyDescent="0.3">
      <c r="B927" s="90">
        <v>46239</v>
      </c>
      <c r="C927" s="28" t="s">
        <v>409</v>
      </c>
      <c r="D927" s="136">
        <v>23</v>
      </c>
      <c r="E927" s="91" t="str">
        <f>+VLOOKUP(D927,'Código Tambos'!B:C,2,0)</f>
        <v>La Victoria</v>
      </c>
      <c r="F927" s="92">
        <v>11815</v>
      </c>
      <c r="G927" s="93">
        <v>26162</v>
      </c>
      <c r="H927" s="105">
        <f>+SUM(G927:G929)-SUM(F927:F929)</f>
        <v>621</v>
      </c>
      <c r="I927" s="91">
        <v>3.6</v>
      </c>
      <c r="J927" s="91"/>
      <c r="K927" s="92"/>
    </row>
    <row r="928" spans="2:13" x14ac:dyDescent="0.3">
      <c r="B928" s="94">
        <v>46239</v>
      </c>
      <c r="C928" s="37" t="s">
        <v>409</v>
      </c>
      <c r="D928" s="125">
        <v>21</v>
      </c>
      <c r="E928" s="95" t="str">
        <f>+VLOOKUP(D928,'Código Tambos'!B:C,2,0)</f>
        <v>Brivio Eduardo (TBR)</v>
      </c>
      <c r="F928" s="96">
        <v>5109</v>
      </c>
      <c r="G928" s="97"/>
      <c r="H928" s="97"/>
      <c r="I928" s="95">
        <v>2.7</v>
      </c>
      <c r="J928" s="95"/>
      <c r="K928" s="96"/>
    </row>
    <row r="929" spans="2:16" x14ac:dyDescent="0.3">
      <c r="B929" s="98">
        <v>46239</v>
      </c>
      <c r="C929" s="30" t="s">
        <v>409</v>
      </c>
      <c r="D929" s="126">
        <v>13</v>
      </c>
      <c r="E929" s="99" t="str">
        <f>+VLOOKUP(D929,'Código Tambos'!B:C,2,0)</f>
        <v>Estancia Aleluya</v>
      </c>
      <c r="F929" s="100">
        <v>8617</v>
      </c>
      <c r="G929" s="101"/>
      <c r="H929" s="101"/>
      <c r="I929" s="99">
        <v>2.5</v>
      </c>
      <c r="J929" s="99"/>
      <c r="K929" s="100"/>
    </row>
    <row r="930" spans="2:16" x14ac:dyDescent="0.3">
      <c r="B930" s="84">
        <v>46240</v>
      </c>
      <c r="C930" s="32" t="s">
        <v>410</v>
      </c>
      <c r="D930" s="135">
        <v>12</v>
      </c>
      <c r="E930" s="72" t="str">
        <f>+VLOOKUP(D930,'Código Tambos'!B:C,2,0)</f>
        <v>Santa Isabel</v>
      </c>
      <c r="F930" s="74">
        <v>3800</v>
      </c>
      <c r="G930" s="73">
        <v>10322</v>
      </c>
      <c r="H930" s="111">
        <f>+SUM(G930:G932)-SUM(F930:F932)</f>
        <v>-145</v>
      </c>
      <c r="I930" s="72">
        <v>3.6</v>
      </c>
      <c r="J930" s="72"/>
      <c r="K930" s="74"/>
    </row>
    <row r="931" spans="2:16" x14ac:dyDescent="0.3">
      <c r="B931" s="86">
        <v>46240</v>
      </c>
      <c r="C931" s="76" t="s">
        <v>410</v>
      </c>
      <c r="D931" s="180" t="s">
        <v>183</v>
      </c>
      <c r="E931" s="77" t="str">
        <f>+VLOOKUP(D931,'Código Tambos'!B:C,2,0)</f>
        <v>Larregain Hnos (TLR)</v>
      </c>
      <c r="F931" s="79">
        <v>5275</v>
      </c>
      <c r="G931" s="78"/>
      <c r="H931" s="78"/>
      <c r="I931" s="77">
        <v>3.1</v>
      </c>
      <c r="J931" s="77"/>
      <c r="K931" s="79"/>
    </row>
    <row r="932" spans="2:16" x14ac:dyDescent="0.3">
      <c r="B932" s="88">
        <v>46240</v>
      </c>
      <c r="C932" s="33" t="s">
        <v>410</v>
      </c>
      <c r="D932" s="181" t="s">
        <v>184</v>
      </c>
      <c r="E932" s="81" t="str">
        <f>+VLOOKUP(D932,'Código Tambos'!B:C,2,0)</f>
        <v>Larregain Hnos (TLR)</v>
      </c>
      <c r="F932" s="83">
        <v>1392</v>
      </c>
      <c r="G932" s="82"/>
      <c r="H932" s="82"/>
      <c r="I932" s="81">
        <v>3.9</v>
      </c>
      <c r="J932" s="81"/>
      <c r="K932" s="83"/>
    </row>
    <row r="933" spans="2:16" x14ac:dyDescent="0.3">
      <c r="B933" s="90">
        <v>46240</v>
      </c>
      <c r="C933" s="28" t="s">
        <v>411</v>
      </c>
      <c r="D933" s="136">
        <v>23</v>
      </c>
      <c r="E933" s="91" t="str">
        <f>+VLOOKUP(D933,'Código Tambos'!B:C,2,0)</f>
        <v>La Victoria</v>
      </c>
      <c r="F933" s="92">
        <v>12610</v>
      </c>
      <c r="G933" s="93">
        <v>26186</v>
      </c>
      <c r="H933" s="105">
        <f>+SUM(G933:G935)-SUM(F933:F935)</f>
        <v>458</v>
      </c>
      <c r="I933" s="91">
        <v>4.2</v>
      </c>
      <c r="J933" s="91"/>
      <c r="K933" s="92"/>
    </row>
    <row r="934" spans="2:16" x14ac:dyDescent="0.3">
      <c r="B934" s="94">
        <v>46240</v>
      </c>
      <c r="C934" s="37" t="s">
        <v>411</v>
      </c>
      <c r="D934" s="125">
        <v>21</v>
      </c>
      <c r="E934" s="95" t="str">
        <f>+VLOOKUP(D934,'Código Tambos'!B:C,2,0)</f>
        <v>Brivio Eduardo (TBR)</v>
      </c>
      <c r="F934" s="96">
        <v>4907</v>
      </c>
      <c r="G934" s="97"/>
      <c r="H934" s="97"/>
      <c r="I934" s="95">
        <v>2.5</v>
      </c>
      <c r="J934" s="95"/>
      <c r="K934" s="96"/>
      <c r="P934" s="188"/>
    </row>
    <row r="935" spans="2:16" x14ac:dyDescent="0.3">
      <c r="B935" s="98">
        <v>46240</v>
      </c>
      <c r="C935" s="30" t="s">
        <v>411</v>
      </c>
      <c r="D935" s="126">
        <v>13</v>
      </c>
      <c r="E935" s="99" t="str">
        <f>+VLOOKUP(D935,'Código Tambos'!B:C,2,0)</f>
        <v>Estancia Aleluya</v>
      </c>
      <c r="F935" s="100">
        <v>8211</v>
      </c>
      <c r="G935" s="101"/>
      <c r="H935" s="101"/>
      <c r="I935" s="99">
        <v>3.9</v>
      </c>
      <c r="J935" s="99"/>
      <c r="K935" s="100"/>
      <c r="P935" s="188"/>
    </row>
    <row r="936" spans="2:16" x14ac:dyDescent="0.3">
      <c r="B936" s="84">
        <v>46249</v>
      </c>
      <c r="C936" s="32" t="s">
        <v>414</v>
      </c>
      <c r="D936" s="135">
        <v>13</v>
      </c>
      <c r="E936" s="72" t="str">
        <f>+VLOOKUP(D936,'Código Tambos'!B:C,2,0)</f>
        <v>Estancia Aleluya</v>
      </c>
      <c r="F936" s="74">
        <v>7310</v>
      </c>
      <c r="G936" s="73">
        <v>26396</v>
      </c>
      <c r="H936" s="111">
        <f>+SUM(G936:G940)-SUM(F936:F940)</f>
        <v>51</v>
      </c>
      <c r="I936" s="72">
        <v>4.9000000000000004</v>
      </c>
      <c r="J936" s="72"/>
      <c r="K936" s="74"/>
      <c r="P936" s="188"/>
    </row>
    <row r="937" spans="2:16" x14ac:dyDescent="0.3">
      <c r="B937" s="86">
        <v>46250</v>
      </c>
      <c r="C937" s="76" t="s">
        <v>415</v>
      </c>
      <c r="D937" s="127">
        <v>22</v>
      </c>
      <c r="E937" s="77" t="str">
        <f>+VLOOKUP(D937,'Código Tambos'!B:C,2,0)</f>
        <v>Trueba Roberto</v>
      </c>
      <c r="F937" s="79">
        <v>3171</v>
      </c>
      <c r="G937" s="78"/>
      <c r="H937" s="78"/>
      <c r="I937" s="77">
        <v>4.9000000000000004</v>
      </c>
      <c r="J937" s="77"/>
      <c r="K937" s="79"/>
      <c r="P937" s="188"/>
    </row>
    <row r="938" spans="2:16" x14ac:dyDescent="0.3">
      <c r="B938" s="86">
        <v>46250</v>
      </c>
      <c r="C938" s="76" t="s">
        <v>415</v>
      </c>
      <c r="D938" s="127">
        <v>10</v>
      </c>
      <c r="E938" s="77" t="str">
        <f>+VLOOKUP(D938,'Código Tambos'!B:C,2,0)</f>
        <v>Huaca Hue</v>
      </c>
      <c r="F938" s="79">
        <v>8824</v>
      </c>
      <c r="G938" s="78"/>
      <c r="H938" s="78"/>
      <c r="I938" s="77">
        <v>4.3</v>
      </c>
      <c r="J938" s="77"/>
      <c r="K938" s="79"/>
      <c r="P938" s="188"/>
    </row>
    <row r="939" spans="2:16" x14ac:dyDescent="0.3">
      <c r="B939" s="86">
        <v>46250</v>
      </c>
      <c r="C939" s="76" t="s">
        <v>415</v>
      </c>
      <c r="D939" s="127">
        <v>11</v>
      </c>
      <c r="E939" s="77" t="str">
        <f>+VLOOKUP(D939,'Código Tambos'!B:C,2,0)</f>
        <v>Don Enrique (Amalina)</v>
      </c>
      <c r="F939" s="79">
        <v>4670</v>
      </c>
      <c r="G939" s="78"/>
      <c r="H939" s="78"/>
      <c r="I939" s="77">
        <v>4.5999999999999996</v>
      </c>
      <c r="J939" s="77"/>
      <c r="K939" s="79"/>
      <c r="P939" s="188"/>
    </row>
    <row r="940" spans="2:16" x14ac:dyDescent="0.3">
      <c r="B940" s="88">
        <v>46250</v>
      </c>
      <c r="C940" s="33" t="s">
        <v>415</v>
      </c>
      <c r="D940" s="128">
        <v>27</v>
      </c>
      <c r="E940" s="81" t="e">
        <f>+VLOOKUP(D940,'Código Tambos'!B:C,2,0)</f>
        <v>#N/A</v>
      </c>
      <c r="F940" s="83">
        <v>2370</v>
      </c>
      <c r="G940" s="82"/>
      <c r="H940" s="82"/>
      <c r="I940" s="81">
        <v>3.1</v>
      </c>
      <c r="J940" s="81"/>
      <c r="K940" s="83"/>
      <c r="P940" s="188"/>
    </row>
    <row r="941" spans="2:16" x14ac:dyDescent="0.3">
      <c r="B941" s="90">
        <v>46250</v>
      </c>
      <c r="C941" s="28" t="s">
        <v>416</v>
      </c>
      <c r="D941" s="189" t="s">
        <v>183</v>
      </c>
      <c r="E941" s="91" t="str">
        <f>+VLOOKUP(D941,'Código Tambos'!B:C,2,0)</f>
        <v>Larregain Hnos (TLR)</v>
      </c>
      <c r="F941" s="92">
        <v>5025</v>
      </c>
      <c r="G941" s="93">
        <v>20972</v>
      </c>
      <c r="H941" s="105">
        <f>+SUM(G941:G945)-SUM(F941:F945)</f>
        <v>36</v>
      </c>
      <c r="I941" s="91">
        <v>3.9</v>
      </c>
      <c r="J941" s="91"/>
      <c r="K941" s="92"/>
      <c r="P941" s="188"/>
    </row>
    <row r="942" spans="2:16" x14ac:dyDescent="0.3">
      <c r="B942" s="94">
        <v>46250</v>
      </c>
      <c r="C942" s="37" t="s">
        <v>416</v>
      </c>
      <c r="D942" s="182" t="s">
        <v>184</v>
      </c>
      <c r="E942" s="95" t="str">
        <f>+VLOOKUP(D942,'Código Tambos'!B:C,2,0)</f>
        <v>Larregain Hnos (TLR)</v>
      </c>
      <c r="F942" s="96">
        <v>1537</v>
      </c>
      <c r="G942" s="97"/>
      <c r="H942" s="97"/>
      <c r="I942" s="95">
        <v>4.5</v>
      </c>
      <c r="J942" s="95"/>
      <c r="K942" s="96"/>
      <c r="P942" s="188"/>
    </row>
    <row r="943" spans="2:16" x14ac:dyDescent="0.3">
      <c r="B943" s="94">
        <v>46250</v>
      </c>
      <c r="C943" s="37" t="s">
        <v>416</v>
      </c>
      <c r="D943" s="125">
        <v>12</v>
      </c>
      <c r="E943" s="95" t="str">
        <f>+VLOOKUP(D943,'Código Tambos'!B:C,2,0)</f>
        <v>Santa Isabel</v>
      </c>
      <c r="F943" s="96">
        <v>3421</v>
      </c>
      <c r="G943" s="97"/>
      <c r="H943" s="97"/>
      <c r="I943" s="95">
        <v>4.5999999999999996</v>
      </c>
      <c r="J943" s="95"/>
      <c r="K943" s="96"/>
      <c r="P943" s="188"/>
    </row>
    <row r="944" spans="2:16" x14ac:dyDescent="0.3">
      <c r="B944" s="94">
        <v>46250</v>
      </c>
      <c r="C944" s="37" t="s">
        <v>416</v>
      </c>
      <c r="D944" s="125">
        <v>25</v>
      </c>
      <c r="E944" s="95" t="str">
        <f>+VLOOKUP(D944,'Código Tambos'!B:C,2,0)</f>
        <v>Viejo Ceibo</v>
      </c>
      <c r="F944" s="96">
        <v>4585</v>
      </c>
      <c r="G944" s="97"/>
      <c r="H944" s="97"/>
      <c r="I944" s="95">
        <v>4.9000000000000004</v>
      </c>
      <c r="J944" s="95"/>
      <c r="K944" s="96"/>
      <c r="P944" s="188"/>
    </row>
    <row r="945" spans="2:16" x14ac:dyDescent="0.3">
      <c r="B945" s="98">
        <v>46250</v>
      </c>
      <c r="C945" s="30" t="s">
        <v>416</v>
      </c>
      <c r="D945" s="126">
        <v>26</v>
      </c>
      <c r="E945" s="99" t="e">
        <f>+VLOOKUP(D945,'Código Tambos'!B:C,2,0)</f>
        <v>#N/A</v>
      </c>
      <c r="F945" s="100">
        <v>6368</v>
      </c>
      <c r="G945" s="101"/>
      <c r="H945" s="101"/>
      <c r="I945" s="99">
        <v>4.4000000000000004</v>
      </c>
      <c r="J945" s="99"/>
      <c r="K945" s="100"/>
      <c r="P945" s="188"/>
    </row>
    <row r="946" spans="2:16" x14ac:dyDescent="0.3">
      <c r="B946" s="84">
        <v>46250</v>
      </c>
      <c r="C946" s="32" t="s">
        <v>417</v>
      </c>
      <c r="D946" s="135">
        <v>13</v>
      </c>
      <c r="E946" s="72" t="str">
        <f>+VLOOKUP(D946,'Código Tambos'!B:C,2,0)</f>
        <v>Estancia Aleluya</v>
      </c>
      <c r="F946" s="74">
        <v>8644</v>
      </c>
      <c r="G946" s="73">
        <v>33980</v>
      </c>
      <c r="H946" s="111">
        <f>+SUM(G946:G948)-SUM(F946:F948)</f>
        <v>255</v>
      </c>
      <c r="I946" s="72">
        <v>4.0999999999999996</v>
      </c>
      <c r="J946" s="72"/>
      <c r="K946" s="74"/>
      <c r="P946" s="188"/>
    </row>
    <row r="947" spans="2:16" x14ac:dyDescent="0.3">
      <c r="B947" s="86">
        <v>46250</v>
      </c>
      <c r="C947" s="76" t="s">
        <v>418</v>
      </c>
      <c r="D947" s="127">
        <v>23</v>
      </c>
      <c r="E947" s="77" t="str">
        <f>+VLOOKUP(D947,'Código Tambos'!B:C,2,0)</f>
        <v>La Victoria</v>
      </c>
      <c r="F947" s="79">
        <v>14217</v>
      </c>
      <c r="G947" s="78"/>
      <c r="H947" s="78"/>
      <c r="I947" s="77">
        <v>3.8</v>
      </c>
      <c r="J947" s="77"/>
      <c r="K947" s="79"/>
    </row>
    <row r="948" spans="2:16" x14ac:dyDescent="0.3">
      <c r="B948" s="88">
        <v>46250</v>
      </c>
      <c r="C948" s="33" t="s">
        <v>418</v>
      </c>
      <c r="D948" s="128">
        <v>21</v>
      </c>
      <c r="E948" s="81" t="str">
        <f>+VLOOKUP(D948,'Código Tambos'!B:C,2,0)</f>
        <v>Brivio Eduardo (TBR)</v>
      </c>
      <c r="F948" s="83">
        <v>10864</v>
      </c>
      <c r="G948" s="82"/>
      <c r="H948" s="82"/>
      <c r="I948" s="81">
        <v>2.9</v>
      </c>
      <c r="J948" s="81"/>
      <c r="K948" s="83"/>
    </row>
    <row r="949" spans="2:16" x14ac:dyDescent="0.3">
      <c r="B949" s="103">
        <v>46250</v>
      </c>
      <c r="C949" s="24" t="s">
        <v>419</v>
      </c>
      <c r="D949" s="129">
        <v>13</v>
      </c>
      <c r="E949" s="23" t="str">
        <f>+VLOOKUP(D949,'Código Tambos'!B:C,2,0)</f>
        <v>Estancia Aleluya</v>
      </c>
      <c r="F949" s="104">
        <v>6944</v>
      </c>
      <c r="G949" s="105">
        <v>7900</v>
      </c>
      <c r="H949" s="105">
        <f>+SUM(G949:G949)-SUM(F949:F949)</f>
        <v>956</v>
      </c>
      <c r="I949" s="23">
        <v>4.3</v>
      </c>
      <c r="J949" s="23"/>
      <c r="K949" s="104"/>
    </row>
    <row r="950" spans="2:16" x14ac:dyDescent="0.3">
      <c r="B950" s="84">
        <v>46251</v>
      </c>
      <c r="C950" s="32" t="s">
        <v>420</v>
      </c>
      <c r="D950" s="135">
        <v>23</v>
      </c>
      <c r="E950" s="72" t="str">
        <f>+VLOOKUP(D950,'Código Tambos'!B:C,2,0)</f>
        <v>La Victoria</v>
      </c>
      <c r="F950" s="74">
        <v>12214</v>
      </c>
      <c r="G950" s="73">
        <v>25988</v>
      </c>
      <c r="H950" s="111">
        <f>+SUM(G950:G952)-SUM(F950:F952)</f>
        <v>88</v>
      </c>
      <c r="I950" s="72">
        <v>3.5</v>
      </c>
      <c r="J950" s="72"/>
      <c r="K950" s="74"/>
    </row>
    <row r="951" spans="2:16" x14ac:dyDescent="0.3">
      <c r="B951" s="86">
        <v>46251</v>
      </c>
      <c r="C951" s="76" t="s">
        <v>420</v>
      </c>
      <c r="D951" s="127">
        <v>21</v>
      </c>
      <c r="E951" s="77" t="str">
        <f>+VLOOKUP(D951,'Código Tambos'!B:C,2,0)</f>
        <v>Brivio Eduardo (TBR)</v>
      </c>
      <c r="F951" s="79">
        <v>5276</v>
      </c>
      <c r="G951" s="78"/>
      <c r="H951" s="78"/>
      <c r="I951" s="77">
        <v>2.5</v>
      </c>
      <c r="J951" s="77"/>
      <c r="K951" s="79"/>
    </row>
    <row r="952" spans="2:16" x14ac:dyDescent="0.3">
      <c r="B952" s="88">
        <v>46251</v>
      </c>
      <c r="C952" s="33" t="s">
        <v>420</v>
      </c>
      <c r="D952" s="128">
        <v>13</v>
      </c>
      <c r="E952" s="81" t="str">
        <f>+VLOOKUP(D952,'Código Tambos'!B:C,2,0)</f>
        <v>Estancia Aleluya</v>
      </c>
      <c r="F952" s="83">
        <v>8410</v>
      </c>
      <c r="G952" s="82"/>
      <c r="H952" s="82"/>
      <c r="I952" s="81">
        <v>4.0999999999999996</v>
      </c>
      <c r="J952" s="81"/>
      <c r="K952" s="83"/>
    </row>
    <row r="953" spans="2:16" x14ac:dyDescent="0.3">
      <c r="B953" s="90">
        <v>46251</v>
      </c>
      <c r="C953" s="28" t="s">
        <v>421</v>
      </c>
      <c r="D953" s="136">
        <v>22</v>
      </c>
      <c r="E953" s="91" t="str">
        <f>+VLOOKUP(D953,'Código Tambos'!B:C,2,0)</f>
        <v>Trueba Roberto</v>
      </c>
      <c r="F953" s="92">
        <v>5100</v>
      </c>
      <c r="G953" s="93">
        <v>21332</v>
      </c>
      <c r="H953" s="105">
        <f>+SUM(G953:G955)-SUM(F953:F955)</f>
        <v>-1322</v>
      </c>
      <c r="I953" s="91">
        <v>4.7</v>
      </c>
      <c r="J953" s="91"/>
      <c r="K953" s="92"/>
    </row>
    <row r="954" spans="2:16" x14ac:dyDescent="0.3">
      <c r="B954" s="94">
        <v>46251</v>
      </c>
      <c r="C954" s="37" t="s">
        <v>421</v>
      </c>
      <c r="D954" s="125">
        <v>10</v>
      </c>
      <c r="E954" s="95" t="str">
        <f>+VLOOKUP(D954,'Código Tambos'!B:C,2,0)</f>
        <v>Huaca Hue</v>
      </c>
      <c r="F954" s="96">
        <v>9444</v>
      </c>
      <c r="G954" s="97"/>
      <c r="H954" s="97"/>
      <c r="I954" s="95">
        <v>3.6</v>
      </c>
      <c r="J954" s="95"/>
      <c r="K954" s="96"/>
    </row>
    <row r="955" spans="2:16" x14ac:dyDescent="0.3">
      <c r="B955" s="98">
        <v>46251</v>
      </c>
      <c r="C955" s="30" t="s">
        <v>421</v>
      </c>
      <c r="D955" s="126">
        <v>11</v>
      </c>
      <c r="E955" s="99" t="str">
        <f>+VLOOKUP(D955,'Código Tambos'!B:C,2,0)</f>
        <v>Don Enrique (Amalina)</v>
      </c>
      <c r="F955" s="100">
        <v>8110</v>
      </c>
      <c r="G955" s="101"/>
      <c r="H955" s="101"/>
      <c r="I955" s="99">
        <v>4.7</v>
      </c>
      <c r="J955" s="99"/>
      <c r="K955" s="100"/>
    </row>
    <row r="956" spans="2:16" x14ac:dyDescent="0.3">
      <c r="B956" s="84">
        <v>46251</v>
      </c>
      <c r="C956" s="32" t="s">
        <v>422</v>
      </c>
      <c r="D956" s="186" t="s">
        <v>183</v>
      </c>
      <c r="E956" s="72" t="str">
        <f>+VLOOKUP(D956,'Código Tambos'!B:C,2,0)</f>
        <v>Larregain Hnos (TLR)</v>
      </c>
      <c r="F956" s="74">
        <v>5025</v>
      </c>
      <c r="G956" s="73">
        <v>20848</v>
      </c>
      <c r="H956" s="105">
        <f>+SUM(G956:G960)-SUM(F956:F960)</f>
        <v>88</v>
      </c>
      <c r="I956" s="72">
        <v>3.9</v>
      </c>
      <c r="J956" s="72"/>
      <c r="K956" s="74"/>
    </row>
    <row r="957" spans="2:16" x14ac:dyDescent="0.3">
      <c r="B957" s="86">
        <v>46251</v>
      </c>
      <c r="C957" s="76" t="s">
        <v>422</v>
      </c>
      <c r="D957" s="180" t="s">
        <v>184</v>
      </c>
      <c r="E957" s="77" t="str">
        <f>+VLOOKUP(D957,'Código Tambos'!B:C,2,0)</f>
        <v>Larregain Hnos (TLR)</v>
      </c>
      <c r="F957" s="79">
        <v>1522</v>
      </c>
      <c r="G957" s="78"/>
      <c r="H957" s="78"/>
      <c r="I957" s="77">
        <v>4.4000000000000004</v>
      </c>
      <c r="J957" s="77"/>
      <c r="K957" s="79"/>
    </row>
    <row r="958" spans="2:16" x14ac:dyDescent="0.3">
      <c r="B958" s="86">
        <v>46251</v>
      </c>
      <c r="C958" s="76" t="s">
        <v>422</v>
      </c>
      <c r="D958" s="127">
        <v>12</v>
      </c>
      <c r="E958" s="77" t="str">
        <f>+VLOOKUP(D958,'Código Tambos'!B:C,2,0)</f>
        <v>Santa Isabel</v>
      </c>
      <c r="F958" s="79">
        <v>3529</v>
      </c>
      <c r="G958" s="78"/>
      <c r="H958" s="78"/>
      <c r="I958" s="77">
        <v>5</v>
      </c>
      <c r="J958" s="77"/>
      <c r="K958" s="79"/>
    </row>
    <row r="959" spans="2:16" x14ac:dyDescent="0.3">
      <c r="B959" s="86">
        <v>46251</v>
      </c>
      <c r="C959" s="76" t="s">
        <v>422</v>
      </c>
      <c r="D959" s="127">
        <v>25</v>
      </c>
      <c r="E959" s="77" t="str">
        <f>+VLOOKUP(D959,'Código Tambos'!B:C,2,0)</f>
        <v>Viejo Ceibo</v>
      </c>
      <c r="F959" s="79">
        <v>4250</v>
      </c>
      <c r="G959" s="78"/>
      <c r="H959" s="78"/>
      <c r="I959" s="77">
        <v>4.0999999999999996</v>
      </c>
      <c r="J959" s="77"/>
      <c r="K959" s="79"/>
    </row>
    <row r="960" spans="2:16" x14ac:dyDescent="0.3">
      <c r="B960" s="88">
        <v>46251</v>
      </c>
      <c r="C960" s="33" t="s">
        <v>422</v>
      </c>
      <c r="D960" s="128">
        <v>26</v>
      </c>
      <c r="E960" s="81" t="e">
        <f>+VLOOKUP(D960,'Código Tambos'!B:C,2,0)</f>
        <v>#N/A</v>
      </c>
      <c r="F960" s="83">
        <v>6434</v>
      </c>
      <c r="G960" s="82"/>
      <c r="H960" s="82"/>
      <c r="I960" s="81">
        <v>4.8</v>
      </c>
      <c r="J960" s="81"/>
      <c r="K960" s="83"/>
    </row>
    <row r="961" spans="2:11" x14ac:dyDescent="0.3">
      <c r="B961" s="90">
        <v>46251</v>
      </c>
      <c r="C961" s="28" t="s">
        <v>423</v>
      </c>
      <c r="D961" s="136">
        <v>13</v>
      </c>
      <c r="E961" s="91" t="str">
        <f>+VLOOKUP(D961,'Código Tambos'!B:C,2,0)</f>
        <v>Estancia Aleluya</v>
      </c>
      <c r="F961" s="92">
        <v>7197</v>
      </c>
      <c r="G961" s="93">
        <v>32126</v>
      </c>
      <c r="H961" s="105">
        <f>+SUM(G961:G965)-SUM(F961:F965)</f>
        <v>-218</v>
      </c>
      <c r="I961" s="91">
        <v>3</v>
      </c>
      <c r="J961" s="91"/>
      <c r="K961" s="92"/>
    </row>
    <row r="962" spans="2:11" x14ac:dyDescent="0.3">
      <c r="B962" s="94">
        <v>46251</v>
      </c>
      <c r="C962" s="37" t="s">
        <v>423</v>
      </c>
      <c r="D962" s="125">
        <v>22</v>
      </c>
      <c r="E962" s="95" t="str">
        <f>+VLOOKUP(D962,'Código Tambos'!B:C,2,0)</f>
        <v>Trueba Roberto</v>
      </c>
      <c r="F962" s="96">
        <v>4914</v>
      </c>
      <c r="G962" s="97"/>
      <c r="H962" s="97"/>
      <c r="I962" s="95">
        <v>4.2</v>
      </c>
      <c r="J962" s="95"/>
      <c r="K962" s="96"/>
    </row>
    <row r="963" spans="2:11" x14ac:dyDescent="0.3">
      <c r="B963" s="94">
        <v>46251</v>
      </c>
      <c r="C963" s="37" t="s">
        <v>423</v>
      </c>
      <c r="D963" s="125">
        <v>27</v>
      </c>
      <c r="E963" s="95" t="e">
        <f>+VLOOKUP(D963,'Código Tambos'!B:C,2,0)</f>
        <v>#N/A</v>
      </c>
      <c r="F963" s="96">
        <v>6050</v>
      </c>
      <c r="G963" s="97"/>
      <c r="H963" s="97"/>
      <c r="I963" s="95">
        <v>2.5</v>
      </c>
      <c r="J963" s="95"/>
      <c r="K963" s="96"/>
    </row>
    <row r="964" spans="2:11" x14ac:dyDescent="0.3">
      <c r="B964" s="94">
        <v>46251</v>
      </c>
      <c r="C964" s="37" t="s">
        <v>423</v>
      </c>
      <c r="D964" s="125">
        <v>10</v>
      </c>
      <c r="E964" s="95" t="str">
        <f>+VLOOKUP(D964,'Código Tambos'!B:C,2,0)</f>
        <v>Huaca Hue</v>
      </c>
      <c r="F964" s="96">
        <v>9360</v>
      </c>
      <c r="G964" s="97"/>
      <c r="H964" s="97"/>
      <c r="I964" s="95">
        <v>2.8</v>
      </c>
      <c r="J964" s="95"/>
      <c r="K964" s="96"/>
    </row>
    <row r="965" spans="2:11" x14ac:dyDescent="0.3">
      <c r="B965" s="98">
        <v>46251</v>
      </c>
      <c r="C965" s="30" t="s">
        <v>423</v>
      </c>
      <c r="D965" s="126">
        <v>11</v>
      </c>
      <c r="E965" s="99" t="str">
        <f>+VLOOKUP(D965,'Código Tambos'!B:C,2,0)</f>
        <v>Don Enrique (Amalina)</v>
      </c>
      <c r="F965" s="100">
        <v>4823</v>
      </c>
      <c r="G965" s="101"/>
      <c r="H965" s="101"/>
      <c r="I965" s="99">
        <v>4.3</v>
      </c>
      <c r="J965" s="99"/>
      <c r="K965" s="100"/>
    </row>
    <row r="966" spans="2:11" x14ac:dyDescent="0.3">
      <c r="B966" s="84">
        <v>46252</v>
      </c>
      <c r="C966" s="32" t="s">
        <v>424</v>
      </c>
      <c r="D966" s="135">
        <v>23</v>
      </c>
      <c r="E966" s="72" t="str">
        <f>+VLOOKUP(D966,'Código Tambos'!B:C,2,0)</f>
        <v>La Victoria</v>
      </c>
      <c r="F966" s="74">
        <v>12197</v>
      </c>
      <c r="G966" s="73">
        <v>24471</v>
      </c>
      <c r="H966" s="111">
        <f>+SUM(G966:G968)-SUM(F966:F968)</f>
        <v>87</v>
      </c>
      <c r="I966" s="72">
        <v>3.8</v>
      </c>
      <c r="J966" s="72"/>
      <c r="K966" s="74"/>
    </row>
    <row r="967" spans="2:11" x14ac:dyDescent="0.3">
      <c r="B967" s="86">
        <v>46252</v>
      </c>
      <c r="C967" s="76" t="s">
        <v>424</v>
      </c>
      <c r="D967" s="127">
        <v>21</v>
      </c>
      <c r="E967" s="77" t="str">
        <f>+VLOOKUP(D967,'Código Tambos'!B:C,2,0)</f>
        <v>Brivio Eduardo (TBR)</v>
      </c>
      <c r="F967" s="79">
        <v>5062</v>
      </c>
      <c r="G967" s="78"/>
      <c r="H967" s="78"/>
      <c r="I967" s="77">
        <v>2.2999999999999998</v>
      </c>
      <c r="J967" s="77"/>
      <c r="K967" s="79"/>
    </row>
    <row r="968" spans="2:11" x14ac:dyDescent="0.3">
      <c r="B968" s="88">
        <v>46252</v>
      </c>
      <c r="C968" s="33" t="s">
        <v>424</v>
      </c>
      <c r="D968" s="128">
        <v>13</v>
      </c>
      <c r="E968" s="81" t="str">
        <f>+VLOOKUP(D968,'Código Tambos'!B:C,2,0)</f>
        <v>Estancia Aleluya</v>
      </c>
      <c r="F968" s="83">
        <v>7125</v>
      </c>
      <c r="G968" s="82"/>
      <c r="H968" s="82"/>
      <c r="I968" s="81">
        <v>4.0999999999999996</v>
      </c>
      <c r="J968" s="81"/>
      <c r="K968" s="83"/>
    </row>
    <row r="969" spans="2:11" x14ac:dyDescent="0.3">
      <c r="B969" s="90">
        <v>46252</v>
      </c>
      <c r="C969" s="28" t="s">
        <v>425</v>
      </c>
      <c r="D969" s="189" t="s">
        <v>183</v>
      </c>
      <c r="E969" s="91" t="str">
        <f>+VLOOKUP(D969,'Código Tambos'!B:C,2,0)</f>
        <v>Larregain Hnos (TLR)</v>
      </c>
      <c r="F969" s="92">
        <v>5025</v>
      </c>
      <c r="G969" s="93">
        <v>26436</v>
      </c>
      <c r="H969" s="105">
        <f>+SUM(G969:G973)-SUM(F969:F973)</f>
        <v>-194</v>
      </c>
      <c r="I969" s="91">
        <v>3.5</v>
      </c>
      <c r="J969" s="91"/>
      <c r="K969" s="92"/>
    </row>
    <row r="970" spans="2:11" x14ac:dyDescent="0.3">
      <c r="B970" s="94">
        <v>46252</v>
      </c>
      <c r="C970" s="37" t="s">
        <v>425</v>
      </c>
      <c r="D970" s="182" t="s">
        <v>184</v>
      </c>
      <c r="E970" s="95" t="str">
        <f>+VLOOKUP(D970,'Código Tambos'!B:C,2,0)</f>
        <v>Larregain Hnos (TLR)</v>
      </c>
      <c r="F970" s="96">
        <v>1541</v>
      </c>
      <c r="G970" s="97"/>
      <c r="H970" s="97"/>
      <c r="I970" s="95">
        <v>3.3</v>
      </c>
      <c r="J970" s="95"/>
      <c r="K970" s="96"/>
    </row>
    <row r="971" spans="2:11" x14ac:dyDescent="0.3">
      <c r="B971" s="94">
        <v>46252</v>
      </c>
      <c r="C971" s="37" t="s">
        <v>425</v>
      </c>
      <c r="D971" s="125">
        <v>12</v>
      </c>
      <c r="E971" s="95" t="str">
        <f>+VLOOKUP(D971,'Código Tambos'!B:C,2,0)</f>
        <v>Santa Isabel</v>
      </c>
      <c r="F971" s="96">
        <v>3486</v>
      </c>
      <c r="G971" s="97"/>
      <c r="H971" s="97"/>
      <c r="I971" s="95">
        <v>4.5</v>
      </c>
      <c r="J971" s="95"/>
      <c r="K971" s="96"/>
    </row>
    <row r="972" spans="2:11" x14ac:dyDescent="0.3">
      <c r="B972" s="94">
        <v>46252</v>
      </c>
      <c r="C972" s="37" t="s">
        <v>425</v>
      </c>
      <c r="D972" s="125">
        <v>25</v>
      </c>
      <c r="E972" s="95" t="str">
        <f>+VLOOKUP(D972,'Código Tambos'!B:C,2,0)</f>
        <v>Viejo Ceibo</v>
      </c>
      <c r="F972" s="96">
        <v>10000</v>
      </c>
      <c r="G972" s="97"/>
      <c r="H972" s="97"/>
      <c r="I972" s="95">
        <v>4.3</v>
      </c>
      <c r="J972" s="95"/>
      <c r="K972" s="96"/>
    </row>
    <row r="973" spans="2:11" x14ac:dyDescent="0.3">
      <c r="B973" s="98">
        <v>46252</v>
      </c>
      <c r="C973" s="30" t="s">
        <v>425</v>
      </c>
      <c r="D973" s="126">
        <v>26</v>
      </c>
      <c r="E973" s="99" t="e">
        <f>+VLOOKUP(D973,'Código Tambos'!B:C,2,0)</f>
        <v>#N/A</v>
      </c>
      <c r="F973" s="100">
        <v>6578</v>
      </c>
      <c r="G973" s="101"/>
      <c r="H973" s="101"/>
      <c r="I973" s="99">
        <v>4.8</v>
      </c>
      <c r="J973" s="99"/>
      <c r="K973" s="100"/>
    </row>
    <row r="974" spans="2:11" x14ac:dyDescent="0.3">
      <c r="B974" s="84">
        <v>46253</v>
      </c>
      <c r="C974" s="32" t="s">
        <v>426</v>
      </c>
      <c r="D974" s="135">
        <v>23</v>
      </c>
      <c r="E974" s="72" t="str">
        <f>+VLOOKUP(D974,'Código Tambos'!B:C,2,0)</f>
        <v>La Victoria</v>
      </c>
      <c r="F974" s="74">
        <v>12076</v>
      </c>
      <c r="G974" s="73">
        <v>25369</v>
      </c>
      <c r="H974" s="111">
        <f>+SUM(G974:G976)-SUM(F974:F976)</f>
        <v>780</v>
      </c>
      <c r="I974" s="72">
        <v>3.8</v>
      </c>
      <c r="J974" s="72"/>
      <c r="K974" s="74"/>
    </row>
    <row r="975" spans="2:11" x14ac:dyDescent="0.3">
      <c r="B975" s="86">
        <v>46253</v>
      </c>
      <c r="C975" s="76" t="s">
        <v>426</v>
      </c>
      <c r="D975" s="127">
        <v>21</v>
      </c>
      <c r="E975" s="77" t="str">
        <f>+VLOOKUP(D975,'Código Tambos'!B:C,2,0)</f>
        <v>Brivio Eduardo (TBR)</v>
      </c>
      <c r="F975" s="79">
        <v>5391</v>
      </c>
      <c r="G975" s="78"/>
      <c r="H975" s="78"/>
      <c r="I975" s="77">
        <v>2.6</v>
      </c>
      <c r="J975" s="77"/>
      <c r="K975" s="79"/>
    </row>
    <row r="976" spans="2:11" x14ac:dyDescent="0.3">
      <c r="B976" s="88">
        <v>46253</v>
      </c>
      <c r="C976" s="33" t="s">
        <v>426</v>
      </c>
      <c r="D976" s="128">
        <v>13</v>
      </c>
      <c r="E976" s="81" t="str">
        <f>+VLOOKUP(D976,'Código Tambos'!B:C,2,0)</f>
        <v>Estancia Aleluya</v>
      </c>
      <c r="F976" s="83">
        <v>7122</v>
      </c>
      <c r="G976" s="82"/>
      <c r="H976" s="82"/>
      <c r="I976" s="81">
        <v>4.0999999999999996</v>
      </c>
      <c r="J976" s="81"/>
      <c r="K976" s="83"/>
    </row>
    <row r="977" spans="2:11" x14ac:dyDescent="0.3">
      <c r="B977" s="90">
        <v>46253</v>
      </c>
      <c r="C977" s="28" t="s">
        <v>427</v>
      </c>
      <c r="D977" s="189" t="s">
        <v>183</v>
      </c>
      <c r="E977" s="91" t="str">
        <f>+VLOOKUP(D977,'Código Tambos'!B:C,2,0)</f>
        <v>Larregain Hnos (TLR)</v>
      </c>
      <c r="F977" s="92">
        <v>5075</v>
      </c>
      <c r="G977" s="93">
        <v>25745</v>
      </c>
      <c r="H977" s="105">
        <f>+SUM(G977:G981)-SUM(F977:F981)</f>
        <v>0</v>
      </c>
      <c r="I977" s="91">
        <v>3.5</v>
      </c>
      <c r="J977" s="91"/>
      <c r="K977" s="92"/>
    </row>
    <row r="978" spans="2:11" x14ac:dyDescent="0.3">
      <c r="B978" s="94">
        <v>46253</v>
      </c>
      <c r="C978" s="37" t="s">
        <v>427</v>
      </c>
      <c r="D978" s="182" t="s">
        <v>184</v>
      </c>
      <c r="E978" s="95" t="str">
        <f>+VLOOKUP(D978,'Código Tambos'!B:C,2,0)</f>
        <v>Larregain Hnos (TLR)</v>
      </c>
      <c r="F978" s="96">
        <v>1544</v>
      </c>
      <c r="G978" s="97"/>
      <c r="H978" s="97"/>
      <c r="I978" s="95">
        <v>3.9</v>
      </c>
      <c r="J978" s="95"/>
      <c r="K978" s="96"/>
    </row>
    <row r="979" spans="2:11" x14ac:dyDescent="0.3">
      <c r="B979" s="94">
        <v>46253</v>
      </c>
      <c r="C979" s="37" t="s">
        <v>427</v>
      </c>
      <c r="D979" s="125">
        <v>12</v>
      </c>
      <c r="E979" s="95" t="str">
        <f>+VLOOKUP(D979,'Código Tambos'!B:C,2,0)</f>
        <v>Santa Isabel</v>
      </c>
      <c r="F979" s="96">
        <v>3600</v>
      </c>
      <c r="G979" s="97"/>
      <c r="H979" s="97"/>
      <c r="I979" s="95">
        <v>4.7</v>
      </c>
      <c r="J979" s="95"/>
      <c r="K979" s="96"/>
    </row>
    <row r="980" spans="2:11" x14ac:dyDescent="0.3">
      <c r="B980" s="94">
        <v>46253</v>
      </c>
      <c r="C980" s="37" t="s">
        <v>427</v>
      </c>
      <c r="D980" s="125">
        <v>25</v>
      </c>
      <c r="E980" s="95" t="str">
        <f>+VLOOKUP(D980,'Código Tambos'!B:C,2,0)</f>
        <v>Viejo Ceibo</v>
      </c>
      <c r="F980" s="96">
        <v>10000</v>
      </c>
      <c r="G980" s="97"/>
      <c r="H980" s="97"/>
      <c r="I980" s="95">
        <v>4.9000000000000004</v>
      </c>
      <c r="J980" s="95"/>
      <c r="K980" s="96"/>
    </row>
    <row r="981" spans="2:11" x14ac:dyDescent="0.3">
      <c r="B981" s="98">
        <v>46253</v>
      </c>
      <c r="C981" s="30" t="s">
        <v>427</v>
      </c>
      <c r="D981" s="126">
        <v>11</v>
      </c>
      <c r="E981" s="99" t="str">
        <f>+VLOOKUP(D981,'Código Tambos'!B:C,2,0)</f>
        <v>Don Enrique (Amalina)</v>
      </c>
      <c r="F981" s="100">
        <v>5526</v>
      </c>
      <c r="G981" s="101"/>
      <c r="H981" s="101"/>
      <c r="I981" s="99">
        <v>5</v>
      </c>
      <c r="J981" s="99"/>
      <c r="K981" s="100"/>
    </row>
    <row r="982" spans="2:11" x14ac:dyDescent="0.3">
      <c r="B982" s="84">
        <v>46254</v>
      </c>
      <c r="C982" s="32" t="s">
        <v>428</v>
      </c>
      <c r="D982" s="135">
        <v>23</v>
      </c>
      <c r="E982" s="72" t="str">
        <f>+VLOOKUP(D982,'Código Tambos'!B:C,2,0)</f>
        <v>La Victoria</v>
      </c>
      <c r="F982" s="74">
        <v>12177</v>
      </c>
      <c r="G982" s="73">
        <v>24594</v>
      </c>
      <c r="H982" s="111">
        <f>+SUM(G982:G984)-SUM(F982:F984)</f>
        <v>-67</v>
      </c>
      <c r="I982" s="72">
        <v>3.8</v>
      </c>
      <c r="J982" s="72"/>
      <c r="K982" s="74"/>
    </row>
    <row r="983" spans="2:11" x14ac:dyDescent="0.3">
      <c r="B983" s="86">
        <v>46254</v>
      </c>
      <c r="C983" s="76" t="s">
        <v>428</v>
      </c>
      <c r="D983" s="127">
        <v>21</v>
      </c>
      <c r="E983" s="77" t="str">
        <f>+VLOOKUP(D983,'Código Tambos'!B:C,2,0)</f>
        <v>Brivio Eduardo (TBR)</v>
      </c>
      <c r="F983" s="79">
        <v>5345</v>
      </c>
      <c r="G983" s="78"/>
      <c r="H983" s="78"/>
      <c r="I983" s="77">
        <v>2.8</v>
      </c>
      <c r="J983" s="77"/>
      <c r="K983" s="79"/>
    </row>
    <row r="984" spans="2:11" x14ac:dyDescent="0.3">
      <c r="B984" s="88">
        <v>46254</v>
      </c>
      <c r="C984" s="33" t="s">
        <v>428</v>
      </c>
      <c r="D984" s="128">
        <v>13</v>
      </c>
      <c r="E984" s="81" t="str">
        <f>+VLOOKUP(D984,'Código Tambos'!B:C,2,0)</f>
        <v>Estancia Aleluya</v>
      </c>
      <c r="F984" s="83">
        <v>7139</v>
      </c>
      <c r="G984" s="82"/>
      <c r="H984" s="82"/>
      <c r="I984" s="81">
        <v>4.0999999999999996</v>
      </c>
      <c r="J984" s="81"/>
      <c r="K984" s="83"/>
    </row>
    <row r="985" spans="2:11" x14ac:dyDescent="0.3">
      <c r="B985" s="90">
        <v>46256</v>
      </c>
      <c r="C985" s="28" t="s">
        <v>429</v>
      </c>
      <c r="D985" s="136">
        <v>13</v>
      </c>
      <c r="E985" s="91" t="str">
        <f>+VLOOKUP(D985,'Código Tambos'!B:C,2,0)</f>
        <v>Estancia Aleluya</v>
      </c>
      <c r="F985" s="92">
        <v>7189</v>
      </c>
      <c r="G985" s="93">
        <v>27980</v>
      </c>
      <c r="H985" s="105">
        <f>+SUM(G985:G989)-SUM(F985:F989)</f>
        <v>-73</v>
      </c>
      <c r="I985" s="91">
        <v>4.3</v>
      </c>
      <c r="J985" s="91"/>
      <c r="K985" s="92"/>
    </row>
    <row r="986" spans="2:11" x14ac:dyDescent="0.3">
      <c r="B986" s="94">
        <v>46256</v>
      </c>
      <c r="C986" s="37" t="s">
        <v>429</v>
      </c>
      <c r="D986" s="125">
        <v>22</v>
      </c>
      <c r="E986" s="95" t="str">
        <f>+VLOOKUP(D986,'Código Tambos'!B:C,2,0)</f>
        <v>Trueba Roberto</v>
      </c>
      <c r="F986" s="96">
        <v>3067</v>
      </c>
      <c r="G986" s="97"/>
      <c r="H986" s="97"/>
      <c r="I986" s="95">
        <v>4.8</v>
      </c>
      <c r="J986" s="95"/>
      <c r="K986" s="96"/>
    </row>
    <row r="987" spans="2:11" x14ac:dyDescent="0.3">
      <c r="B987" s="94">
        <v>46256</v>
      </c>
      <c r="C987" s="37" t="s">
        <v>429</v>
      </c>
      <c r="D987" s="125">
        <v>27</v>
      </c>
      <c r="E987" s="95" t="e">
        <f>+VLOOKUP(D987,'Código Tambos'!B:C,2,0)</f>
        <v>#N/A</v>
      </c>
      <c r="F987" s="96">
        <v>3353</v>
      </c>
      <c r="G987" s="97"/>
      <c r="H987" s="97"/>
      <c r="I987" s="95">
        <v>2.4</v>
      </c>
      <c r="J987" s="95"/>
      <c r="K987" s="96"/>
    </row>
    <row r="988" spans="2:11" x14ac:dyDescent="0.3">
      <c r="B988" s="94">
        <v>46256</v>
      </c>
      <c r="C988" s="37" t="s">
        <v>429</v>
      </c>
      <c r="D988" s="125">
        <v>10</v>
      </c>
      <c r="E988" s="95" t="str">
        <f>+VLOOKUP(D988,'Código Tambos'!B:C,2,0)</f>
        <v>Huaca Hue</v>
      </c>
      <c r="F988" s="96">
        <v>9294</v>
      </c>
      <c r="G988" s="97"/>
      <c r="H988" s="97"/>
      <c r="I988" s="95">
        <v>3.1</v>
      </c>
      <c r="J988" s="95"/>
      <c r="K988" s="96"/>
    </row>
    <row r="989" spans="2:11" x14ac:dyDescent="0.3">
      <c r="B989" s="98">
        <v>46256</v>
      </c>
      <c r="C989" s="30" t="s">
        <v>429</v>
      </c>
      <c r="D989" s="126">
        <v>11</v>
      </c>
      <c r="E989" s="99" t="str">
        <f>+VLOOKUP(D989,'Código Tambos'!B:C,2,0)</f>
        <v>Don Enrique (Amalina)</v>
      </c>
      <c r="F989" s="100">
        <v>5150</v>
      </c>
      <c r="G989" s="101"/>
      <c r="H989" s="101"/>
      <c r="I989" s="99">
        <v>4.0999999999999996</v>
      </c>
      <c r="J989" s="99"/>
      <c r="K989" s="100"/>
    </row>
    <row r="990" spans="2:11" x14ac:dyDescent="0.3">
      <c r="B990" s="84">
        <v>46257</v>
      </c>
      <c r="C990" s="32" t="s">
        <v>430</v>
      </c>
      <c r="D990" s="186" t="s">
        <v>183</v>
      </c>
      <c r="E990" s="72" t="str">
        <f>+VLOOKUP(D990,'Código Tambos'!B:C,2,0)</f>
        <v>Larregain Hnos (TLR)</v>
      </c>
      <c r="F990" s="74">
        <v>5215</v>
      </c>
      <c r="G990" s="73">
        <v>16824</v>
      </c>
      <c r="H990" s="111">
        <f>+SUM(G990:G993)-SUM(F990:F993)</f>
        <v>55</v>
      </c>
      <c r="I990" s="72">
        <v>3.1</v>
      </c>
      <c r="J990" s="72"/>
      <c r="K990" s="74"/>
    </row>
    <row r="991" spans="2:11" x14ac:dyDescent="0.3">
      <c r="B991" s="86">
        <v>46257</v>
      </c>
      <c r="C991" s="76" t="s">
        <v>430</v>
      </c>
      <c r="D991" s="180" t="s">
        <v>184</v>
      </c>
      <c r="E991" s="77" t="str">
        <f>+VLOOKUP(D991,'Código Tambos'!B:C,2,0)</f>
        <v>Larregain Hnos (TLR)</v>
      </c>
      <c r="F991" s="79">
        <v>1541</v>
      </c>
      <c r="G991" s="78"/>
      <c r="H991" s="78"/>
      <c r="I991" s="77">
        <v>2.9</v>
      </c>
      <c r="J991" s="77"/>
      <c r="K991" s="79"/>
    </row>
    <row r="992" spans="2:11" x14ac:dyDescent="0.3">
      <c r="B992" s="86">
        <v>46257</v>
      </c>
      <c r="C992" s="76" t="s">
        <v>430</v>
      </c>
      <c r="D992" s="127">
        <v>12</v>
      </c>
      <c r="E992" s="77" t="str">
        <f>+VLOOKUP(D992,'Código Tambos'!B:C,2,0)</f>
        <v>Santa Isabel</v>
      </c>
      <c r="F992" s="79">
        <v>3743</v>
      </c>
      <c r="G992" s="78"/>
      <c r="H992" s="78"/>
      <c r="I992" s="77">
        <v>3.1</v>
      </c>
      <c r="J992" s="77"/>
      <c r="K992" s="79"/>
    </row>
    <row r="993" spans="2:11" x14ac:dyDescent="0.3">
      <c r="B993" s="88">
        <v>46257</v>
      </c>
      <c r="C993" s="33" t="s">
        <v>430</v>
      </c>
      <c r="D993" s="128">
        <v>26</v>
      </c>
      <c r="E993" s="81" t="e">
        <f>+VLOOKUP(D993,'Código Tambos'!B:C,2,0)</f>
        <v>#N/A</v>
      </c>
      <c r="F993" s="83">
        <v>6270</v>
      </c>
      <c r="G993" s="82"/>
      <c r="H993" s="82"/>
      <c r="I993" s="81">
        <v>3.6</v>
      </c>
      <c r="J993" s="81"/>
      <c r="K993" s="83"/>
    </row>
    <row r="994" spans="2:11" x14ac:dyDescent="0.3">
      <c r="B994" s="90">
        <v>46257</v>
      </c>
      <c r="C994" s="28" t="s">
        <v>431</v>
      </c>
      <c r="D994" s="136">
        <v>23</v>
      </c>
      <c r="E994" s="91" t="str">
        <f>+VLOOKUP(D994,'Código Tambos'!B:C,2,0)</f>
        <v>La Victoria</v>
      </c>
      <c r="F994" s="92">
        <v>12703</v>
      </c>
      <c r="G994" s="93">
        <v>27987</v>
      </c>
      <c r="H994" s="105">
        <f>+SUM(G994:G996)-SUM(F994:F996)</f>
        <v>151</v>
      </c>
      <c r="I994" s="91">
        <v>3.6</v>
      </c>
      <c r="J994" s="91"/>
      <c r="K994" s="92"/>
    </row>
    <row r="995" spans="2:11" x14ac:dyDescent="0.3">
      <c r="B995" s="94">
        <v>46257</v>
      </c>
      <c r="C995" s="37" t="s">
        <v>431</v>
      </c>
      <c r="D995" s="125">
        <v>21</v>
      </c>
      <c r="E995" s="95" t="str">
        <f>+VLOOKUP(D995,'Código Tambos'!B:C,2,0)</f>
        <v>Brivio Eduardo (TBR)</v>
      </c>
      <c r="F995" s="96">
        <v>7992</v>
      </c>
      <c r="G995" s="97"/>
      <c r="H995" s="97"/>
      <c r="I995" s="95">
        <v>2.6</v>
      </c>
      <c r="J995" s="95"/>
      <c r="K995" s="96"/>
    </row>
    <row r="996" spans="2:11" x14ac:dyDescent="0.3">
      <c r="B996" s="98">
        <v>46257</v>
      </c>
      <c r="C996" s="30" t="s">
        <v>431</v>
      </c>
      <c r="D996" s="126">
        <v>13</v>
      </c>
      <c r="E996" s="99" t="str">
        <f>+VLOOKUP(D996,'Código Tambos'!B:C,2,0)</f>
        <v>Estancia Aleluya</v>
      </c>
      <c r="F996" s="100">
        <v>7141</v>
      </c>
      <c r="G996" s="101"/>
      <c r="H996" s="101"/>
      <c r="I996" s="99">
        <v>4.0999999999999996</v>
      </c>
      <c r="J996" s="99"/>
      <c r="K996" s="100"/>
    </row>
    <row r="997" spans="2:11" x14ac:dyDescent="0.3">
      <c r="B997" s="84">
        <v>46263</v>
      </c>
      <c r="C997" s="32" t="s">
        <v>432</v>
      </c>
      <c r="D997" s="135">
        <v>13</v>
      </c>
      <c r="E997" s="72" t="str">
        <f>+VLOOKUP(D997,'Código Tambos'!B:C,2,0)</f>
        <v>Estancia Aleluya</v>
      </c>
      <c r="F997" s="74">
        <v>7407</v>
      </c>
      <c r="G997" s="73">
        <v>24694</v>
      </c>
      <c r="H997" s="111">
        <f>+SUM(G997:G1000)-SUM(F997:F1000)</f>
        <v>58</v>
      </c>
      <c r="I997" s="72">
        <v>4</v>
      </c>
      <c r="J997" s="72"/>
      <c r="K997" s="74"/>
    </row>
    <row r="998" spans="2:11" x14ac:dyDescent="0.3">
      <c r="B998" s="86">
        <v>46264</v>
      </c>
      <c r="C998" s="76" t="s">
        <v>433</v>
      </c>
      <c r="D998" s="127">
        <v>22</v>
      </c>
      <c r="E998" s="77" t="str">
        <f>+VLOOKUP(D998,'Código Tambos'!B:C,2,0)</f>
        <v>Trueba Roberto</v>
      </c>
      <c r="F998" s="79">
        <v>3171</v>
      </c>
      <c r="G998" s="78"/>
      <c r="H998" s="78"/>
      <c r="I998" s="77">
        <v>3.7</v>
      </c>
      <c r="J998" s="77"/>
      <c r="K998" s="79"/>
    </row>
    <row r="999" spans="2:11" x14ac:dyDescent="0.3">
      <c r="B999" s="86">
        <v>46264</v>
      </c>
      <c r="C999" s="76" t="s">
        <v>433</v>
      </c>
      <c r="D999" s="127">
        <v>10</v>
      </c>
      <c r="E999" s="77" t="str">
        <f>+VLOOKUP(D999,'Código Tambos'!B:C,2,0)</f>
        <v>Huaca Hue</v>
      </c>
      <c r="F999" s="79">
        <v>9388</v>
      </c>
      <c r="G999" s="78"/>
      <c r="H999" s="78"/>
      <c r="I999" s="77">
        <v>3</v>
      </c>
      <c r="J999" s="77"/>
      <c r="K999" s="79"/>
    </row>
    <row r="1000" spans="2:11" x14ac:dyDescent="0.3">
      <c r="B1000" s="88">
        <v>46264</v>
      </c>
      <c r="C1000" s="33" t="s">
        <v>433</v>
      </c>
      <c r="D1000" s="128">
        <v>11</v>
      </c>
      <c r="E1000" s="81" t="str">
        <f>+VLOOKUP(D1000,'Código Tambos'!B:C,2,0)</f>
        <v>Don Enrique (Amalina)</v>
      </c>
      <c r="F1000" s="83">
        <v>4670</v>
      </c>
      <c r="G1000" s="82"/>
      <c r="H1000" s="82"/>
      <c r="I1000" s="81">
        <v>3</v>
      </c>
      <c r="J1000" s="81"/>
      <c r="K1000" s="83"/>
    </row>
    <row r="1001" spans="2:11" x14ac:dyDescent="0.3">
      <c r="B1001" s="90">
        <v>46264</v>
      </c>
      <c r="C1001" s="28" t="s">
        <v>434</v>
      </c>
      <c r="D1001" s="189" t="s">
        <v>184</v>
      </c>
      <c r="E1001" s="91" t="str">
        <f>+VLOOKUP(D1001,'Código Tambos'!B:C,2,0)</f>
        <v>Larregain Hnos (TLR)</v>
      </c>
      <c r="F1001" s="92">
        <v>1355</v>
      </c>
      <c r="G1001" s="93">
        <v>22562</v>
      </c>
      <c r="H1001" s="105">
        <f>+SUM(G1001:G1005)-SUM(F1001:F1005)</f>
        <v>183</v>
      </c>
      <c r="I1001" s="91">
        <v>3.8</v>
      </c>
      <c r="J1001" s="91"/>
      <c r="K1001" s="92"/>
    </row>
    <row r="1002" spans="2:11" x14ac:dyDescent="0.3">
      <c r="B1002" s="94">
        <v>46264</v>
      </c>
      <c r="C1002" s="37" t="s">
        <v>434</v>
      </c>
      <c r="D1002" s="182" t="s">
        <v>183</v>
      </c>
      <c r="E1002" s="95" t="str">
        <f>+VLOOKUP(D1002,'Código Tambos'!B:C,2,0)</f>
        <v>Larregain Hnos (TLR)</v>
      </c>
      <c r="F1002" s="96">
        <v>5715</v>
      </c>
      <c r="G1002" s="97"/>
      <c r="H1002" s="97"/>
      <c r="I1002" s="95">
        <v>3.5</v>
      </c>
      <c r="J1002" s="95"/>
      <c r="K1002" s="96"/>
    </row>
    <row r="1003" spans="2:11" x14ac:dyDescent="0.3">
      <c r="B1003" s="94">
        <v>46264</v>
      </c>
      <c r="C1003" s="37" t="s">
        <v>434</v>
      </c>
      <c r="D1003" s="125">
        <v>12</v>
      </c>
      <c r="E1003" s="95" t="str">
        <f>+VLOOKUP(D1003,'Código Tambos'!B:C,2,0)</f>
        <v>Santa Isabel</v>
      </c>
      <c r="F1003" s="96">
        <v>3371</v>
      </c>
      <c r="G1003" s="97"/>
      <c r="H1003" s="97"/>
      <c r="I1003" s="95">
        <v>4.4000000000000004</v>
      </c>
      <c r="J1003" s="95"/>
      <c r="K1003" s="96"/>
    </row>
    <row r="1004" spans="2:11" x14ac:dyDescent="0.3">
      <c r="B1004" s="94">
        <v>46264</v>
      </c>
      <c r="C1004" s="37" t="s">
        <v>434</v>
      </c>
      <c r="D1004" s="125">
        <v>26</v>
      </c>
      <c r="E1004" s="95" t="e">
        <f>+VLOOKUP(D1004,'Código Tambos'!B:C,2,0)</f>
        <v>#N/A</v>
      </c>
      <c r="F1004" s="96">
        <v>6518</v>
      </c>
      <c r="G1004" s="97"/>
      <c r="H1004" s="97"/>
      <c r="I1004" s="95">
        <v>3.9</v>
      </c>
      <c r="J1004" s="95"/>
      <c r="K1004" s="96"/>
    </row>
    <row r="1005" spans="2:11" x14ac:dyDescent="0.3">
      <c r="B1005" s="98">
        <v>46264</v>
      </c>
      <c r="C1005" s="30" t="s">
        <v>434</v>
      </c>
      <c r="D1005" s="126">
        <v>25</v>
      </c>
      <c r="E1005" s="99" t="str">
        <f>+VLOOKUP(D1005,'Código Tambos'!B:C,2,0)</f>
        <v>Viejo Ceibo</v>
      </c>
      <c r="F1005" s="100">
        <v>5420</v>
      </c>
      <c r="G1005" s="101"/>
      <c r="H1005" s="101"/>
      <c r="I1005" s="99">
        <v>4</v>
      </c>
      <c r="J1005" s="99"/>
      <c r="K1005" s="100"/>
    </row>
    <row r="1006" spans="2:11" x14ac:dyDescent="0.3">
      <c r="B1006" s="84">
        <v>46264</v>
      </c>
      <c r="C1006" s="32" t="s">
        <v>435</v>
      </c>
      <c r="D1006" s="135">
        <v>23</v>
      </c>
      <c r="E1006" s="72" t="str">
        <f>+VLOOKUP(D1006,'Código Tambos'!B:C,2,0)</f>
        <v>La Victoria</v>
      </c>
      <c r="F1006" s="74">
        <v>13103</v>
      </c>
      <c r="G1006" s="73">
        <f>27268+7480</f>
        <v>34748</v>
      </c>
      <c r="H1006" s="111">
        <f>+SUM(G1006:G1009)-SUM(F1006:F1009)</f>
        <v>-1157</v>
      </c>
      <c r="I1006" s="72">
        <v>3.6</v>
      </c>
      <c r="J1006" s="72"/>
      <c r="K1006" s="74"/>
    </row>
    <row r="1007" spans="2:11" x14ac:dyDescent="0.3">
      <c r="B1007" s="86">
        <v>46264</v>
      </c>
      <c r="C1007" s="76" t="s">
        <v>435</v>
      </c>
      <c r="D1007" s="127">
        <v>21</v>
      </c>
      <c r="E1007" s="77" t="str">
        <f>+VLOOKUP(D1007,'Código Tambos'!B:C,2,0)</f>
        <v>Brivio Eduardo (TBR)</v>
      </c>
      <c r="F1007" s="79">
        <v>8344</v>
      </c>
      <c r="G1007" s="78"/>
      <c r="H1007" s="78"/>
      <c r="I1007" s="77">
        <v>2.6</v>
      </c>
      <c r="J1007" s="77"/>
      <c r="K1007" s="79"/>
    </row>
    <row r="1008" spans="2:11" x14ac:dyDescent="0.3">
      <c r="B1008" s="88">
        <v>46264</v>
      </c>
      <c r="C1008" s="33" t="s">
        <v>435</v>
      </c>
      <c r="D1008" s="128">
        <v>13</v>
      </c>
      <c r="E1008" s="81" t="str">
        <f>+VLOOKUP(D1008,'Código Tambos'!B:C,2,0)</f>
        <v>Estancia Aleluya</v>
      </c>
      <c r="F1008" s="83">
        <v>6789</v>
      </c>
      <c r="G1008" s="82"/>
      <c r="H1008" s="82"/>
      <c r="I1008" s="81">
        <v>4.2</v>
      </c>
      <c r="J1008" s="81"/>
      <c r="K1008" s="83"/>
    </row>
    <row r="1009" spans="2:11" x14ac:dyDescent="0.3">
      <c r="B1009" s="88">
        <v>46264</v>
      </c>
      <c r="C1009" s="33" t="s">
        <v>439</v>
      </c>
      <c r="D1009" s="128">
        <v>13</v>
      </c>
      <c r="E1009" s="81" t="str">
        <f>+VLOOKUP(D1009,'Código Tambos'!B:C,2,0)</f>
        <v>Estancia Aleluya</v>
      </c>
      <c r="F1009" s="83">
        <v>7669</v>
      </c>
      <c r="G1009" s="82"/>
      <c r="H1009" s="82"/>
      <c r="I1009" s="81">
        <v>4.2</v>
      </c>
      <c r="J1009" s="81"/>
      <c r="K1009" s="83"/>
    </row>
    <row r="1010" spans="2:11" x14ac:dyDescent="0.3">
      <c r="B1010" s="90">
        <v>46265</v>
      </c>
      <c r="C1010" s="28" t="s">
        <v>436</v>
      </c>
      <c r="D1010" s="136">
        <v>12</v>
      </c>
      <c r="E1010" s="91" t="str">
        <f>+VLOOKUP(D1010,'Código Tambos'!B:C,2,0)</f>
        <v>Santa Isabel</v>
      </c>
      <c r="F1010" s="92">
        <v>3600</v>
      </c>
      <c r="G1010" s="93">
        <v>24699</v>
      </c>
      <c r="H1010" s="105">
        <f>+SUM(G1010:G1014)-SUM(F1010:F1014)</f>
        <v>7</v>
      </c>
      <c r="I1010" s="91">
        <v>3.2</v>
      </c>
      <c r="J1010" s="91"/>
      <c r="K1010" s="92"/>
    </row>
    <row r="1011" spans="2:11" x14ac:dyDescent="0.3">
      <c r="B1011" s="94">
        <v>46265</v>
      </c>
      <c r="C1011" s="37" t="s">
        <v>436</v>
      </c>
      <c r="D1011" s="182" t="s">
        <v>184</v>
      </c>
      <c r="E1011" s="95" t="str">
        <f>+VLOOKUP(D1011,'Código Tambos'!B:C,2,0)</f>
        <v>Larregain Hnos (TLR)</v>
      </c>
      <c r="F1011" s="96">
        <v>1332</v>
      </c>
      <c r="G1011" s="97"/>
      <c r="H1011" s="97"/>
      <c r="I1011" s="95">
        <v>3</v>
      </c>
      <c r="J1011" s="95"/>
      <c r="K1011" s="96"/>
    </row>
    <row r="1012" spans="2:11" x14ac:dyDescent="0.3">
      <c r="B1012" s="94">
        <v>46265</v>
      </c>
      <c r="C1012" s="37" t="s">
        <v>436</v>
      </c>
      <c r="D1012" s="182" t="s">
        <v>183</v>
      </c>
      <c r="E1012" s="95" t="str">
        <f>+VLOOKUP(D1012,'Código Tambos'!B:C,2,0)</f>
        <v>Larregain Hnos (TLR)</v>
      </c>
      <c r="F1012" s="96">
        <v>5800</v>
      </c>
      <c r="G1012" s="97"/>
      <c r="H1012" s="97"/>
      <c r="I1012" s="95">
        <v>3.2</v>
      </c>
      <c r="J1012" s="95"/>
      <c r="K1012" s="96"/>
    </row>
    <row r="1013" spans="2:11" x14ac:dyDescent="0.3">
      <c r="B1013" s="94">
        <v>46265</v>
      </c>
      <c r="C1013" s="37" t="s">
        <v>436</v>
      </c>
      <c r="D1013" s="125">
        <v>25</v>
      </c>
      <c r="E1013" s="95" t="str">
        <f>+VLOOKUP(D1013,'Código Tambos'!B:C,2,0)</f>
        <v>Viejo Ceibo</v>
      </c>
      <c r="F1013" s="96">
        <v>5900</v>
      </c>
      <c r="G1013" s="97"/>
      <c r="H1013" s="97"/>
      <c r="I1013" s="95">
        <v>4.0999999999999996</v>
      </c>
      <c r="J1013" s="95"/>
      <c r="K1013" s="96"/>
    </row>
    <row r="1014" spans="2:11" x14ac:dyDescent="0.3">
      <c r="B1014" s="98">
        <v>46265</v>
      </c>
      <c r="C1014" s="30" t="s">
        <v>436</v>
      </c>
      <c r="D1014" s="126">
        <v>10</v>
      </c>
      <c r="E1014" s="99" t="str">
        <f>+VLOOKUP(D1014,'Código Tambos'!B:C,2,0)</f>
        <v>Huaca Hue</v>
      </c>
      <c r="F1014" s="100">
        <v>8060</v>
      </c>
      <c r="G1014" s="101"/>
      <c r="H1014" s="101"/>
      <c r="I1014" s="99">
        <v>4</v>
      </c>
      <c r="J1014" s="99"/>
      <c r="K1014" s="100"/>
    </row>
    <row r="1015" spans="2:11" x14ac:dyDescent="0.3">
      <c r="B1015" s="84">
        <v>46265</v>
      </c>
      <c r="C1015" s="32" t="s">
        <v>437</v>
      </c>
      <c r="D1015" s="135">
        <v>13</v>
      </c>
      <c r="E1015" s="72" t="str">
        <f>+VLOOKUP(D1015,'Código Tambos'!B:C,2,0)</f>
        <v>Estancia Aleluya</v>
      </c>
      <c r="F1015" s="74">
        <v>10744</v>
      </c>
      <c r="G1015" s="73">
        <v>26276</v>
      </c>
      <c r="H1015" s="111">
        <f>+SUM(G1015:G1017)-SUM(F1015:F1017)</f>
        <v>293</v>
      </c>
      <c r="I1015" s="72">
        <v>3.8</v>
      </c>
      <c r="J1015" s="72"/>
      <c r="K1015" s="74"/>
    </row>
    <row r="1016" spans="2:11" x14ac:dyDescent="0.3">
      <c r="B1016" s="86">
        <v>46265</v>
      </c>
      <c r="C1016" s="76" t="s">
        <v>437</v>
      </c>
      <c r="D1016" s="127">
        <v>23</v>
      </c>
      <c r="E1016" s="77" t="str">
        <f>+VLOOKUP(D1016,'Código Tambos'!B:C,2,0)</f>
        <v>La Victoria</v>
      </c>
      <c r="F1016" s="79">
        <v>11548</v>
      </c>
      <c r="G1016" s="78"/>
      <c r="H1016" s="78"/>
      <c r="I1016" s="77">
        <v>4.0999999999999996</v>
      </c>
      <c r="J1016" s="77"/>
      <c r="K1016" s="79"/>
    </row>
    <row r="1017" spans="2:11" x14ac:dyDescent="0.3">
      <c r="B1017" s="88">
        <v>46265</v>
      </c>
      <c r="C1017" s="33" t="s">
        <v>437</v>
      </c>
      <c r="D1017" s="128">
        <v>21</v>
      </c>
      <c r="E1017" s="81" t="str">
        <f>+VLOOKUP(D1017,'Código Tambos'!B:C,2,0)</f>
        <v>Brivio Eduardo (TBR)</v>
      </c>
      <c r="F1017" s="83">
        <v>3691</v>
      </c>
      <c r="G1017" s="82"/>
      <c r="H1017" s="82"/>
      <c r="I1017" s="81">
        <v>2.6</v>
      </c>
      <c r="J1017" s="81"/>
      <c r="K1017" s="83"/>
    </row>
    <row r="1018" spans="2:11" x14ac:dyDescent="0.3">
      <c r="B1018" s="90">
        <v>46265</v>
      </c>
      <c r="C1018" s="28" t="s">
        <v>438</v>
      </c>
      <c r="D1018" s="136">
        <v>22</v>
      </c>
      <c r="E1018" s="91" t="str">
        <f>+VLOOKUP(D1018,'Código Tambos'!B:C,2,0)</f>
        <v>Trueba Roberto</v>
      </c>
      <c r="F1018" s="92">
        <v>5645</v>
      </c>
      <c r="G1018" s="93">
        <v>21852</v>
      </c>
      <c r="H1018" s="105">
        <f>+SUM(G1018:G1020)-SUM(F1018:F1020)</f>
        <v>-70</v>
      </c>
      <c r="I1018" s="91">
        <v>4.9000000000000004</v>
      </c>
      <c r="J1018" s="91"/>
      <c r="K1018" s="92"/>
    </row>
    <row r="1019" spans="2:11" x14ac:dyDescent="0.3">
      <c r="B1019" s="94">
        <v>46265</v>
      </c>
      <c r="C1019" s="37" t="s">
        <v>438</v>
      </c>
      <c r="D1019" s="125">
        <v>27</v>
      </c>
      <c r="E1019" s="95" t="e">
        <f>+VLOOKUP(D1019,'Código Tambos'!B:C,2,0)</f>
        <v>#N/A</v>
      </c>
      <c r="F1019" s="96">
        <v>9913</v>
      </c>
      <c r="G1019" s="97"/>
      <c r="H1019" s="97"/>
      <c r="I1019" s="95">
        <v>4</v>
      </c>
      <c r="J1019" s="95"/>
      <c r="K1019" s="96"/>
    </row>
    <row r="1020" spans="2:11" x14ac:dyDescent="0.3">
      <c r="B1020" s="98">
        <v>46265</v>
      </c>
      <c r="C1020" s="30" t="s">
        <v>438</v>
      </c>
      <c r="D1020" s="126">
        <v>10</v>
      </c>
      <c r="E1020" s="99" t="str">
        <f>+VLOOKUP(D1020,'Código Tambos'!B:C,2,0)</f>
        <v>Huaca Hue</v>
      </c>
      <c r="F1020" s="100">
        <v>6364</v>
      </c>
      <c r="G1020" s="101"/>
      <c r="H1020" s="101"/>
      <c r="I1020" s="99">
        <v>4.3</v>
      </c>
      <c r="J1020" s="99"/>
      <c r="K1020" s="100"/>
    </row>
    <row r="1021" spans="2:11" x14ac:dyDescent="0.3">
      <c r="B1021" s="84">
        <v>46266</v>
      </c>
      <c r="C1021" s="32" t="s">
        <v>440</v>
      </c>
      <c r="D1021" s="135">
        <v>13</v>
      </c>
      <c r="E1021" s="72" t="str">
        <f>+VLOOKUP(D1021,'Código Tambos'!B:C,2,0)</f>
        <v>Estancia Aleluya</v>
      </c>
      <c r="F1021" s="74">
        <v>7792</v>
      </c>
      <c r="G1021" s="73">
        <v>32460</v>
      </c>
      <c r="H1021" s="111">
        <f>+SUM(G1021:G1024)-SUM(F1021:F1024)</f>
        <v>95</v>
      </c>
      <c r="I1021" s="72">
        <v>4.0999999999999996</v>
      </c>
      <c r="J1021" s="72"/>
      <c r="K1021" s="74"/>
    </row>
    <row r="1022" spans="2:11" x14ac:dyDescent="0.3">
      <c r="B1022" s="86">
        <v>46266</v>
      </c>
      <c r="C1022" s="76" t="s">
        <v>440</v>
      </c>
      <c r="D1022" s="127">
        <v>22</v>
      </c>
      <c r="E1022" s="77" t="str">
        <f>+VLOOKUP(D1022,'Código Tambos'!B:C,2,0)</f>
        <v>Trueba Roberto</v>
      </c>
      <c r="F1022" s="79">
        <v>5576</v>
      </c>
      <c r="G1022" s="78"/>
      <c r="H1022" s="78"/>
      <c r="I1022" s="77">
        <v>4.3</v>
      </c>
      <c r="J1022" s="77"/>
      <c r="K1022" s="79"/>
    </row>
    <row r="1023" spans="2:11" x14ac:dyDescent="0.3">
      <c r="B1023" s="86">
        <v>46266</v>
      </c>
      <c r="C1023" s="76" t="s">
        <v>440</v>
      </c>
      <c r="D1023" s="127">
        <v>27</v>
      </c>
      <c r="E1023" s="77" t="e">
        <f>+VLOOKUP(D1023,'Código Tambos'!B:C,2,0)</f>
        <v>#N/A</v>
      </c>
      <c r="F1023" s="79">
        <v>6270</v>
      </c>
      <c r="G1023" s="78"/>
      <c r="H1023" s="78"/>
      <c r="I1023" s="77">
        <v>4.0999999999999996</v>
      </c>
      <c r="J1023" s="77"/>
      <c r="K1023" s="79"/>
    </row>
    <row r="1024" spans="2:11" x14ac:dyDescent="0.3">
      <c r="B1024" s="88">
        <v>46266</v>
      </c>
      <c r="C1024" s="33" t="s">
        <v>440</v>
      </c>
      <c r="D1024" s="128">
        <v>10</v>
      </c>
      <c r="E1024" s="81" t="str">
        <f>+VLOOKUP(D1024,'Código Tambos'!B:C,2,0)</f>
        <v>Huaca Hue</v>
      </c>
      <c r="F1024" s="83">
        <v>12727</v>
      </c>
      <c r="G1024" s="82"/>
      <c r="H1024" s="82"/>
      <c r="I1024" s="81">
        <v>2.9</v>
      </c>
      <c r="J1024" s="81"/>
      <c r="K1024" s="83"/>
    </row>
    <row r="1025" spans="2:11" x14ac:dyDescent="0.3">
      <c r="B1025" s="86"/>
      <c r="C1025" s="76"/>
      <c r="D1025" s="127"/>
      <c r="E1025" s="95" t="e">
        <f>+VLOOKUP(D1025,'Código Tambos'!B:C,2,0)</f>
        <v>#N/A</v>
      </c>
      <c r="F1025" s="79"/>
      <c r="G1025" s="78"/>
      <c r="H1025" s="78"/>
      <c r="I1025" s="77"/>
      <c r="J1025" s="77"/>
      <c r="K1025" s="79"/>
    </row>
    <row r="1026" spans="2:11" x14ac:dyDescent="0.3">
      <c r="B1026" s="86"/>
      <c r="C1026" s="76"/>
      <c r="D1026" s="127"/>
      <c r="E1026" s="95" t="e">
        <f>+VLOOKUP(D1026,'Código Tambos'!B:C,2,0)</f>
        <v>#N/A</v>
      </c>
      <c r="F1026" s="79"/>
      <c r="G1026" s="78"/>
      <c r="H1026" s="78"/>
      <c r="I1026" s="77"/>
      <c r="J1026" s="77"/>
      <c r="K1026" s="79"/>
    </row>
    <row r="1027" spans="2:11" x14ac:dyDescent="0.3">
      <c r="B1027" s="67" t="s">
        <v>41</v>
      </c>
      <c r="C1027" s="68"/>
      <c r="D1027" s="176"/>
      <c r="E1027" s="69"/>
      <c r="F1027" s="69">
        <f>+SUM(F6:F1026)</f>
        <v>7304707</v>
      </c>
      <c r="G1027" s="70">
        <f>+SUM(G6:G1026)</f>
        <v>7344043</v>
      </c>
      <c r="H1027" s="70">
        <f>+G1027-F1027</f>
        <v>39336</v>
      </c>
      <c r="I1027" s="69"/>
      <c r="J1027" s="69"/>
      <c r="K1027" s="69"/>
    </row>
    <row r="1028" spans="2:11" x14ac:dyDescent="0.3">
      <c r="C1028" s="66"/>
    </row>
  </sheetData>
  <autoFilter ref="B5:K1028" xr:uid="{00000000-0009-0000-0000-000000000000}"/>
  <mergeCells count="1">
    <mergeCell ref="B2:K3"/>
  </mergeCells>
  <phoneticPr fontId="5" type="noConversion"/>
  <pageMargins left="0.70866141732283472" right="0.70866141732283472" top="0.74803149606299213" bottom="0.74803149606299213" header="0.31496062992125984" footer="0.31496062992125984"/>
  <pageSetup scale="23" orientation="landscape" horizontalDpi="0" verticalDpi="0" r:id="rId1"/>
  <ignoredErrors>
    <ignoredError sqref="H23 H18 H27 H31 H35 H40:H64 H65:H91 H119 H122 H125 H128 H131 G116 H432:H451 H423:H431 H376:H422 H453:H455 H766 H816 H807 H799 H791 H784 H775" formulaRange="1"/>
    <ignoredError sqref="E429:E436 E438:E455" evalError="1"/>
    <ignoredError sqref="E45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zoomScale="80" zoomScaleNormal="80" workbookViewId="0">
      <selection activeCell="C17" sqref="C17"/>
    </sheetView>
  </sheetViews>
  <sheetFormatPr baseColWidth="10" defaultRowHeight="14.4" x14ac:dyDescent="0.3"/>
  <cols>
    <col min="3" max="3" width="20.6640625" bestFit="1" customWidth="1"/>
  </cols>
  <sheetData>
    <row r="2" spans="1:3" x14ac:dyDescent="0.3">
      <c r="A2" s="131" t="s">
        <v>26</v>
      </c>
      <c r="B2" s="133" t="s">
        <v>24</v>
      </c>
      <c r="C2" s="130" t="s">
        <v>1</v>
      </c>
    </row>
    <row r="3" spans="1:3" x14ac:dyDescent="0.3">
      <c r="A3" s="132">
        <v>1</v>
      </c>
      <c r="B3" s="20">
        <v>10</v>
      </c>
      <c r="C3" s="66" t="s">
        <v>8</v>
      </c>
    </row>
    <row r="4" spans="1:3" x14ac:dyDescent="0.3">
      <c r="A4" s="132">
        <v>2</v>
      </c>
      <c r="B4" s="20">
        <v>11</v>
      </c>
      <c r="C4" s="66" t="s">
        <v>10</v>
      </c>
    </row>
    <row r="5" spans="1:3" x14ac:dyDescent="0.3">
      <c r="A5" s="132">
        <v>3</v>
      </c>
      <c r="B5" s="20">
        <v>12</v>
      </c>
      <c r="C5" s="66" t="s">
        <v>9</v>
      </c>
    </row>
    <row r="6" spans="1:3" x14ac:dyDescent="0.3">
      <c r="A6" s="132">
        <v>4</v>
      </c>
      <c r="B6" s="20">
        <v>13</v>
      </c>
      <c r="C6" s="66" t="s">
        <v>11</v>
      </c>
    </row>
    <row r="7" spans="1:3" x14ac:dyDescent="0.3">
      <c r="A7" s="132"/>
      <c r="B7" s="134" t="s">
        <v>183</v>
      </c>
      <c r="C7" s="66" t="s">
        <v>182</v>
      </c>
    </row>
    <row r="8" spans="1:3" x14ac:dyDescent="0.3">
      <c r="A8" s="132"/>
      <c r="B8" s="134" t="s">
        <v>184</v>
      </c>
      <c r="C8" s="66" t="s">
        <v>182</v>
      </c>
    </row>
    <row r="9" spans="1:3" x14ac:dyDescent="0.3">
      <c r="A9" s="132"/>
      <c r="B9" s="20">
        <v>21</v>
      </c>
      <c r="C9" s="66" t="s">
        <v>181</v>
      </c>
    </row>
    <row r="10" spans="1:3" x14ac:dyDescent="0.3">
      <c r="A10" s="132"/>
      <c r="B10" s="20">
        <v>23</v>
      </c>
      <c r="C10" s="66" t="s">
        <v>282</v>
      </c>
    </row>
    <row r="11" spans="1:3" x14ac:dyDescent="0.3">
      <c r="B11" s="20">
        <v>17</v>
      </c>
      <c r="C11" s="66" t="s">
        <v>305</v>
      </c>
    </row>
    <row r="12" spans="1:3" x14ac:dyDescent="0.3">
      <c r="B12" s="20">
        <v>22</v>
      </c>
      <c r="C12" s="66" t="s">
        <v>243</v>
      </c>
    </row>
    <row r="13" spans="1:3" x14ac:dyDescent="0.3">
      <c r="B13" s="20">
        <v>25</v>
      </c>
      <c r="C13" s="66" t="s">
        <v>381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Résumen OD-PRO-03</vt:lpstr>
      <vt:lpstr>Código Tambos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Alvarez</dc:creator>
  <cp:lastModifiedBy>Seba Ugalde</cp:lastModifiedBy>
  <cp:lastPrinted>2026-09-01T13:30:58Z</cp:lastPrinted>
  <dcterms:created xsi:type="dcterms:W3CDTF">2025-01-27T13:37:30Z</dcterms:created>
  <dcterms:modified xsi:type="dcterms:W3CDTF">2026-09-02T11:50:36Z</dcterms:modified>
</cp:coreProperties>
</file>